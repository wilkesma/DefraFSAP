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Metadata\temp\20191202\"/>
    </mc:Choice>
  </mc:AlternateContent>
  <bookViews>
    <workbookView xWindow="0" yWindow="0" windowWidth="15090" windowHeight="7755" activeTab="1"/>
  </bookViews>
  <sheets>
    <sheet name="Notes" sheetId="31" r:id="rId1"/>
    <sheet name="WAMM_list_Nov_2019" sheetId="29" r:id="rId2"/>
    <sheet name="NoCAM update tables" sheetId="13" r:id="rId3"/>
  </sheets>
  <definedNames>
    <definedName name="_xlnm._FilterDatabase" localSheetId="1" hidden="1">WAMM_list_Nov_2019!$A$2:$X$106</definedName>
    <definedName name="_xlnm.Database" localSheetId="1">#REF!</definedName>
    <definedName name="_xlnm.Database">#REF!</definedName>
    <definedName name="tt" localSheetId="1">#REF!</definedName>
    <definedName name="tt">#REF!</definedName>
  </definedNames>
  <calcPr calcId="152511"/>
</workbook>
</file>

<file path=xl/calcChain.xml><?xml version="1.0" encoding="utf-8"?>
<calcChain xmlns="http://schemas.openxmlformats.org/spreadsheetml/2006/main">
  <c r="F105" i="29" l="1"/>
</calcChain>
</file>

<file path=xl/comments1.xml><?xml version="1.0" encoding="utf-8"?>
<comments xmlns="http://schemas.openxmlformats.org/spreadsheetml/2006/main">
  <authors>
    <author>Hugh Potter</author>
  </authors>
  <commentList>
    <comment ref="O2" authorId="0" shapeId="0">
      <text>
        <r>
          <rPr>
            <b/>
            <sz val="9"/>
            <color indexed="81"/>
            <rFont val="Tahoma"/>
            <family val="2"/>
          </rPr>
          <t>Hugh Potter:</t>
        </r>
        <r>
          <rPr>
            <sz val="9"/>
            <color indexed="81"/>
            <rFont val="Tahoma"/>
            <family val="2"/>
          </rPr>
          <t xml:space="preserve">
HP update based on EQSD monitoring and Area comments.</t>
        </r>
      </text>
    </comment>
    <comment ref="Q2" authorId="0" shapeId="0">
      <text>
        <r>
          <rPr>
            <b/>
            <sz val="9"/>
            <color indexed="81"/>
            <rFont val="Tahoma"/>
            <family val="2"/>
          </rPr>
          <t>Hugh Potter:</t>
        </r>
        <r>
          <rPr>
            <sz val="9"/>
            <color indexed="81"/>
            <rFont val="Tahoma"/>
            <family val="2"/>
          </rPr>
          <t xml:space="preserve">
Using source app update table.
</t>
        </r>
      </text>
    </comment>
    <comment ref="W2" authorId="0" shapeId="0">
      <text>
        <r>
          <rPr>
            <b/>
            <sz val="9"/>
            <color indexed="81"/>
            <rFont val="Tahoma"/>
            <family val="2"/>
          </rPr>
          <t>Hugh Potter:</t>
        </r>
        <r>
          <rPr>
            <sz val="9"/>
            <color indexed="81"/>
            <rFont val="Tahoma"/>
            <family val="2"/>
          </rPr>
          <t xml:space="preserve">
High / medium / low
Based on Defra priorities.</t>
        </r>
      </text>
    </comment>
  </commentList>
</comments>
</file>

<file path=xl/sharedStrings.xml><?xml version="1.0" encoding="utf-8"?>
<sst xmlns="http://schemas.openxmlformats.org/spreadsheetml/2006/main" count="1171" uniqueCount="338">
  <si>
    <t>EA_WB_ID</t>
  </si>
  <si>
    <t>GB102076070740</t>
  </si>
  <si>
    <t>GB103023074670</t>
  </si>
  <si>
    <t>GB103023074680</t>
  </si>
  <si>
    <t>GB103023074700</t>
  </si>
  <si>
    <t>GB103023074710</t>
  </si>
  <si>
    <t>GB103023074720</t>
  </si>
  <si>
    <t>GB103023074740</t>
  </si>
  <si>
    <t>GB103023074770</t>
  </si>
  <si>
    <t>GB103023075400</t>
  </si>
  <si>
    <t>GB103023075410</t>
  </si>
  <si>
    <t>GB103023075420</t>
  </si>
  <si>
    <t>GB103023075470</t>
  </si>
  <si>
    <t>GB103023075531</t>
  </si>
  <si>
    <t>GB103023075532</t>
  </si>
  <si>
    <t>GB103023075550</t>
  </si>
  <si>
    <t>GB103023075560</t>
  </si>
  <si>
    <t>GB103023075710</t>
  </si>
  <si>
    <t>GB103024072711</t>
  </si>
  <si>
    <t>GB103024072740</t>
  </si>
  <si>
    <t>GB103024077360</t>
  </si>
  <si>
    <t>GB103024077440</t>
  </si>
  <si>
    <t>GB103024077461</t>
  </si>
  <si>
    <t>GB103024077480</t>
  </si>
  <si>
    <t>GB103024077500</t>
  </si>
  <si>
    <t>GB103024077510</t>
  </si>
  <si>
    <t>GB103024077530</t>
  </si>
  <si>
    <t>GB103025072471</t>
  </si>
  <si>
    <t>GB103025072480</t>
  </si>
  <si>
    <t>GB103025072490</t>
  </si>
  <si>
    <t>GB104027063890</t>
  </si>
  <si>
    <t>GB104027064190</t>
  </si>
  <si>
    <t>GB104027068295</t>
  </si>
  <si>
    <t>GB104027068296</t>
  </si>
  <si>
    <t>GB104027069080</t>
  </si>
  <si>
    <t>GB104027069090</t>
  </si>
  <si>
    <t>GB104027069121</t>
  </si>
  <si>
    <t>GB104027069122</t>
  </si>
  <si>
    <t>GB104027069140</t>
  </si>
  <si>
    <t>GB104027069170</t>
  </si>
  <si>
    <t>GB104027069463</t>
  </si>
  <si>
    <t>GB104027069490</t>
  </si>
  <si>
    <t>GB104028052380</t>
  </si>
  <si>
    <t>GB104028052891</t>
  </si>
  <si>
    <t>GB104028053460</t>
  </si>
  <si>
    <t>GB104028057820</t>
  </si>
  <si>
    <t>GB104028057850</t>
  </si>
  <si>
    <t>GB104028058450</t>
  </si>
  <si>
    <t>GB108046008540</t>
  </si>
  <si>
    <t>GB108047004070</t>
  </si>
  <si>
    <t>GB108047007670</t>
  </si>
  <si>
    <t>GB108047007880</t>
  </si>
  <si>
    <t>GB108047007950</t>
  </si>
  <si>
    <t>GB108048001150</t>
  </si>
  <si>
    <t>GB108048001160</t>
  </si>
  <si>
    <t>GB108048001171</t>
  </si>
  <si>
    <t>GB108048001231</t>
  </si>
  <si>
    <t>GB108048001250</t>
  </si>
  <si>
    <t>GB108048001270</t>
  </si>
  <si>
    <t>GB108048001330</t>
  </si>
  <si>
    <t>GB108048001350</t>
  </si>
  <si>
    <t>GB108048002060</t>
  </si>
  <si>
    <t>GB108048002110</t>
  </si>
  <si>
    <t>GB108048002291</t>
  </si>
  <si>
    <t>GB108048002320</t>
  </si>
  <si>
    <t>GB108049000030</t>
  </si>
  <si>
    <t>GB108049000040</t>
  </si>
  <si>
    <t>GB108049000210</t>
  </si>
  <si>
    <t>GB108049000380</t>
  </si>
  <si>
    <t>GB108049000520</t>
  </si>
  <si>
    <t>GB108049000560</t>
  </si>
  <si>
    <t>GB108049000570</t>
  </si>
  <si>
    <t>GB108049000600</t>
  </si>
  <si>
    <t>GB108049000620</t>
  </si>
  <si>
    <t>GB108049000700</t>
  </si>
  <si>
    <t>GB108049000710</t>
  </si>
  <si>
    <t>GB109054049120</t>
  </si>
  <si>
    <t>GB109054049480</t>
  </si>
  <si>
    <t>GB109054049570</t>
  </si>
  <si>
    <t>GB112073071210</t>
  </si>
  <si>
    <t>GB112074069720</t>
  </si>
  <si>
    <t>GB112075070440</t>
  </si>
  <si>
    <t>GB112075070460</t>
  </si>
  <si>
    <t>GB112075073561</t>
  </si>
  <si>
    <t>NAME</t>
  </si>
  <si>
    <t>Glenridding Beck</t>
  </si>
  <si>
    <t>Wellhope Burn Catchment (Trib of West Allen)</t>
  </si>
  <si>
    <t>West Allen from Source to Wellhope Burn</t>
  </si>
  <si>
    <t>West Allen from Wellhope Burn to Allen</t>
  </si>
  <si>
    <t>Allen from Source to West Allen</t>
  </si>
  <si>
    <t>Allen from West Allen to South Tyne</t>
  </si>
  <si>
    <t>Horsleyhope Burn Catchment (Trib of Derwent)</t>
  </si>
  <si>
    <t>Derwent from Nookton Burn to Burnhope Burn</t>
  </si>
  <si>
    <t>South Tyne from Cross Gill to Black Burn (Aleson)</t>
  </si>
  <si>
    <t>Black Burn from Aglionby BeckSouth Tyne</t>
  </si>
  <si>
    <t>Nent from Source to South Tyne</t>
  </si>
  <si>
    <t>Hartley Burn from Source to Black Burn</t>
  </si>
  <si>
    <t>South Tyne from Black Burn to Tipalt Burn</t>
  </si>
  <si>
    <t>South Tyne from Tipalt Burn to Allen</t>
  </si>
  <si>
    <t>Honeycrook Burn Catchment (trib of S Tyne)</t>
  </si>
  <si>
    <t>Newbrough Burn Catchment (trib of South Tyne)</t>
  </si>
  <si>
    <t>South Tyne from Allen to North Tyne</t>
  </si>
  <si>
    <t>Bedburn Beck from Euden Beck to Wear</t>
  </si>
  <si>
    <t>Euden Beck Catchment (Trib of Bedburn Beck)</t>
  </si>
  <si>
    <t>Bollihope Burn from Source to Wear</t>
  </si>
  <si>
    <t>Wear from Wearhead to Middlehope Burn, Iresho</t>
  </si>
  <si>
    <t>Wear from Middlehope Burn to Houselop Beck</t>
  </si>
  <si>
    <t>Middlehope Burn from Source to Wear</t>
  </si>
  <si>
    <t>Kilhope Burn from Source to Wear</t>
  </si>
  <si>
    <t>Stanhope Burn from Source to Wear</t>
  </si>
  <si>
    <t>Rookhope Burn from Source to Wear</t>
  </si>
  <si>
    <t>Harwood Beck from Source to River Tees</t>
  </si>
  <si>
    <t>Hudeshope Beck Catchment (trib of Tees)</t>
  </si>
  <si>
    <t>Eggleston Burn Catchment (trib of Tees)</t>
  </si>
  <si>
    <t>Ashfoldside Beck to River Nidd</t>
  </si>
  <si>
    <t>Hebden Beck Catchment (trib of Wharfe)</t>
  </si>
  <si>
    <t>Nidd from Ashfoldside Beck to Birstwith</t>
  </si>
  <si>
    <t>Nidd from Burstwith to Oak Beck</t>
  </si>
  <si>
    <t>Barney Bk/Hard Level Gill from Source to R Swale</t>
  </si>
  <si>
    <t>Gunnerside Gill from Source to River Swale</t>
  </si>
  <si>
    <t>Swale from Muker Beck to Clapgate Beck</t>
  </si>
  <si>
    <t>Swale from Clapgate Beck to Bedale Beck</t>
  </si>
  <si>
    <t>Marske Beck from Source to River Swale</t>
  </si>
  <si>
    <t>Arkle Beck from Source to River Swale</t>
  </si>
  <si>
    <t>Ure from Duerley Beck to Mill Beck</t>
  </si>
  <si>
    <t>Apedale Beck Catch (trib of River Ure)</t>
  </si>
  <si>
    <t>Amber from Source to Press Brook</t>
  </si>
  <si>
    <t>Manifold - source to conf R Dove</t>
  </si>
  <si>
    <t>Lathkill from R Bradford to R Wye</t>
  </si>
  <si>
    <t>Wye from Monk's Dale to R Derwent</t>
  </si>
  <si>
    <t>Noe from Peakshole Water to R Derwent</t>
  </si>
  <si>
    <t>Lathkill from Source to R Bradford</t>
  </si>
  <si>
    <t>Teign (Lower)</t>
  </si>
  <si>
    <t>Cotehele Stream</t>
  </si>
  <si>
    <t>Lower River Lynher</t>
  </si>
  <si>
    <t>Burn (Tavy)</t>
  </si>
  <si>
    <t>Upper River Tavy</t>
  </si>
  <si>
    <t>Hicks Mill Stream</t>
  </si>
  <si>
    <t>Upper Carnon River</t>
  </si>
  <si>
    <t>Upper River Cober</t>
  </si>
  <si>
    <t>Lower River Carnon</t>
  </si>
  <si>
    <t>Calenick Stream</t>
  </si>
  <si>
    <t>Lower River Fal</t>
  </si>
  <si>
    <t>Crinnis River</t>
  </si>
  <si>
    <t>Gwindra Stream</t>
  </si>
  <si>
    <t>Porthleven Stream</t>
  </si>
  <si>
    <t>Marazion River</t>
  </si>
  <si>
    <t>Tywardreath Stream</t>
  </si>
  <si>
    <t>Seaton</t>
  </si>
  <si>
    <t>Lanivet Stream</t>
  </si>
  <si>
    <t>St Lawrence Stream</t>
  </si>
  <si>
    <t>Benny Stream</t>
  </si>
  <si>
    <t>Hayle</t>
  </si>
  <si>
    <t>Angarrack Stream</t>
  </si>
  <si>
    <t>Roseworthy Stream</t>
  </si>
  <si>
    <t>Red River (Lower)</t>
  </si>
  <si>
    <t>Red River (Upper)</t>
  </si>
  <si>
    <t>Portreath Stream</t>
  </si>
  <si>
    <t>Bolingey Stream</t>
  </si>
  <si>
    <t>Holywell Stream</t>
  </si>
  <si>
    <t>Allen</t>
  </si>
  <si>
    <t>Onny - source to conf R E Onny</t>
  </si>
  <si>
    <t>Minsterley Bk - source to conf Rea Bk</t>
  </si>
  <si>
    <t>Rea Bk - conf Minsterley Bk to conf Pontesford Bk</t>
  </si>
  <si>
    <t>Crake</t>
  </si>
  <si>
    <t>Yewdale/Church Beck</t>
  </si>
  <si>
    <t>Annas</t>
  </si>
  <si>
    <t>Newlands Beck</t>
  </si>
  <si>
    <t>Glenderamackin (Greta)</t>
  </si>
  <si>
    <t>Derwent US Bassenthwaite Lake</t>
  </si>
  <si>
    <t>Eden and Esk</t>
  </si>
  <si>
    <t>Tyne</t>
  </si>
  <si>
    <t>Wear</t>
  </si>
  <si>
    <t>Tees</t>
  </si>
  <si>
    <t>Swale, Ure, Nidd and Upper Ouse</t>
  </si>
  <si>
    <t>Wharfe and Lower Ouse</t>
  </si>
  <si>
    <t>Derbyshire Derwent</t>
  </si>
  <si>
    <t>Dove</t>
  </si>
  <si>
    <t>South Devon</t>
  </si>
  <si>
    <t>Tamar</t>
  </si>
  <si>
    <t>West Cornwall and the Fal</t>
  </si>
  <si>
    <t>North Cornwall, Seaton, Looe and Fowey</t>
  </si>
  <si>
    <t>Bristol Avon and North Somerset Streams</t>
  </si>
  <si>
    <t>Severn Uplands</t>
  </si>
  <si>
    <t>Teme</t>
  </si>
  <si>
    <t>Kent or Leven</t>
  </si>
  <si>
    <t>South West Lakes</t>
  </si>
  <si>
    <t>Derwent (NW)</t>
  </si>
  <si>
    <t>Solway Tweed</t>
  </si>
  <si>
    <t>Northumbria</t>
  </si>
  <si>
    <t>Humber</t>
  </si>
  <si>
    <t>South West</t>
  </si>
  <si>
    <t>Severn</t>
  </si>
  <si>
    <t>North West</t>
  </si>
  <si>
    <t>Yorkshire</t>
  </si>
  <si>
    <t>Devon and Cornwall</t>
  </si>
  <si>
    <t>Wessex</t>
  </si>
  <si>
    <t>Total</t>
  </si>
  <si>
    <t>Saltburn Gill Catch trib of North Sea</t>
  </si>
  <si>
    <t>GB103025071960</t>
  </si>
  <si>
    <t>Teign</t>
  </si>
  <si>
    <t>Tavy</t>
  </si>
  <si>
    <t>Camel</t>
  </si>
  <si>
    <t>Rea Brook</t>
  </si>
  <si>
    <t>AREA_NAME</t>
  </si>
  <si>
    <t>Fail (confirmed)</t>
  </si>
  <si>
    <t>Comment</t>
  </si>
  <si>
    <t>Derwent</t>
  </si>
  <si>
    <t>Length_km</t>
  </si>
  <si>
    <t>Mgmt_catchment</t>
  </si>
  <si>
    <t>Op_catchment</t>
  </si>
  <si>
    <t>Eamont</t>
  </si>
  <si>
    <t>Irt-Mite-Esk-Annas</t>
  </si>
  <si>
    <t>Tees Upper</t>
  </si>
  <si>
    <t>Derwent Tyne</t>
  </si>
  <si>
    <t>South Tyne Lower</t>
  </si>
  <si>
    <t>South Tyne Upper</t>
  </si>
  <si>
    <t>Wear Middle</t>
  </si>
  <si>
    <t>Wear Upper</t>
  </si>
  <si>
    <t>Derwent Derbyshire</t>
  </si>
  <si>
    <t>Derwent Mid</t>
  </si>
  <si>
    <t>Dove Upper</t>
  </si>
  <si>
    <t>Nidd Middle and Lower</t>
  </si>
  <si>
    <t>Swale Middle</t>
  </si>
  <si>
    <t>Nidd Upper</t>
  </si>
  <si>
    <t>Swale Upper</t>
  </si>
  <si>
    <t>Ure Upper</t>
  </si>
  <si>
    <t>Wharfe Upper</t>
  </si>
  <si>
    <t>Gannel Porth and Menalhyl</t>
  </si>
  <si>
    <t>Tamar Lower and Inny</t>
  </si>
  <si>
    <t>Lynher</t>
  </si>
  <si>
    <t>Fal</t>
  </si>
  <si>
    <t>Hayle, Red River and Northern Streams</t>
  </si>
  <si>
    <t>Cober and Lizard</t>
  </si>
  <si>
    <t>Par, St Austell and Caerhays</t>
  </si>
  <si>
    <t>Penwith Peninsula</t>
  </si>
  <si>
    <t>Seaton Looe and Polperro</t>
  </si>
  <si>
    <t>Bristol Avon Rural</t>
  </si>
  <si>
    <t>Teme Upper</t>
  </si>
  <si>
    <t>Fail</t>
  </si>
  <si>
    <t>IMPACTED</t>
  </si>
  <si>
    <t>PROBABLY IMPACTED</t>
  </si>
  <si>
    <t>WAMM priority</t>
  </si>
  <si>
    <t>High</t>
  </si>
  <si>
    <t>Medium</t>
  </si>
  <si>
    <t>Low</t>
  </si>
  <si>
    <t>Pass (at risk)</t>
  </si>
  <si>
    <t>GB109053021851</t>
  </si>
  <si>
    <t>GB109054049630</t>
  </si>
  <si>
    <t>Rea Bk - conf Pontesford Bk to conf R Severn</t>
  </si>
  <si>
    <t>GB103025071920</t>
  </si>
  <si>
    <t>Saltburn Coast</t>
  </si>
  <si>
    <t>Cumbria</t>
  </si>
  <si>
    <t>Shropshire</t>
  </si>
  <si>
    <t>Kilton Beck</t>
  </si>
  <si>
    <t>Chew: source to Chew Valley Lake</t>
  </si>
  <si>
    <t>GB31228847</t>
  </si>
  <si>
    <t>Bassenthwaite Lake</t>
  </si>
  <si>
    <t>GB108046008500</t>
  </si>
  <si>
    <t>Beadon Brook</t>
  </si>
  <si>
    <t>Staffordshire</t>
  </si>
  <si>
    <t>Higher impact no longer used.</t>
  </si>
  <si>
    <t>RBD_name</t>
  </si>
  <si>
    <t>Hugh Potter</t>
  </si>
  <si>
    <t>GB104028053450</t>
  </si>
  <si>
    <t>River Bradford from Source to River Lathkill</t>
  </si>
  <si>
    <t>Peakshole Water from Source to R Noe</t>
  </si>
  <si>
    <t>GB104028057860</t>
  </si>
  <si>
    <t>GB104028052900</t>
  </si>
  <si>
    <t>River Hamps from Source to R Manifold</t>
  </si>
  <si>
    <t>North East</t>
  </si>
  <si>
    <t>2019_Aug_HP_review</t>
  </si>
  <si>
    <t>GB102076070960</t>
  </si>
  <si>
    <t>Swindale Beck nr Dufton</t>
  </si>
  <si>
    <t>GB104027068297</t>
  </si>
  <si>
    <t>Nidd from Oak Beck to Low Bridge on Briggate (Knaresborough)</t>
  </si>
  <si>
    <t>GB104028052310</t>
  </si>
  <si>
    <t>Derwent from Amber to Bottle Brook</t>
  </si>
  <si>
    <t>GB104028052390</t>
  </si>
  <si>
    <t>Derwent from Wye to Amber</t>
  </si>
  <si>
    <t>GB108047007860</t>
  </si>
  <si>
    <t>Lower River Tamar</t>
  </si>
  <si>
    <t>GB108048007630</t>
  </si>
  <si>
    <t>Warleggan River</t>
  </si>
  <si>
    <t>GB108051020390</t>
  </si>
  <si>
    <t>Pill</t>
  </si>
  <si>
    <t>GB109052021520</t>
  </si>
  <si>
    <t>Axe - source to Cocklake</t>
  </si>
  <si>
    <t>GB109052021540</t>
  </si>
  <si>
    <t>Cheddar Yeo - source to conf Stubbingham Rhyne</t>
  </si>
  <si>
    <t>GB109052021570</t>
  </si>
  <si>
    <t>Axe - Cocklake to Brean Cross Sluice</t>
  </si>
  <si>
    <t>Cumbria and Lancashire</t>
  </si>
  <si>
    <t>Derbyshire Nottinghamshire and Leicestershire</t>
  </si>
  <si>
    <t>Cd 2019</t>
  </si>
  <si>
    <t>Pb 2019</t>
  </si>
  <si>
    <t>Ni 2019</t>
  </si>
  <si>
    <t>Cu 2019</t>
  </si>
  <si>
    <t>Zn 2019</t>
  </si>
  <si>
    <t>Fe_2019</t>
  </si>
  <si>
    <t>South and West Somerset</t>
  </si>
  <si>
    <r>
      <t>Notes.</t>
    </r>
    <r>
      <rPr>
        <vertAlign val="superscript"/>
        <sz val="36"/>
        <rFont val="Calibri"/>
        <family val="2"/>
        <scheme val="minor"/>
      </rPr>
      <t/>
    </r>
  </si>
  <si>
    <t xml:space="preserve">1. WAMM: Water and Abandoned Metal Mines programme (partnership between the Environment Agency, the Coal Authority and Defra). </t>
  </si>
  <si>
    <t>3. WAMM water body rank is based on the NoCAM (Non-Coal Abandoned Mines) report published in 2012. In 2015, the NoCAM results were updated by Hull and Newcastle Universities as part of a larger Defra R&amp;D project (unpublished) with a slightly amended methodology and additional data (see "NoCAM update tables" tab). As new data are gathered through the WAMM project, the NoCAM impact scores are being updated. To avoid confusion with the published NoCAM report, the impact scores and ranking have been re-named "WAMM score". These scores indicate scale of impact rather than being an exact ranking of impacts.</t>
  </si>
  <si>
    <t>4. Priority for WAMM programme funds is being given to projects in the Tyne.</t>
  </si>
  <si>
    <t>5. Priorities based on significance of impact, predicted economic and environmental benefits from clean up, availability of other funding sources, outbreak risk etc.</t>
  </si>
  <si>
    <t>Standard information on water body, management catchments etc.</t>
  </si>
  <si>
    <t>Assessment of whether water body fails to achieve environmental quality standards (EQS) for cadmium, lead, nickel, copper, zinc and/or iron. This is not the formal classification carried out by the Environment Agency for river basin management plans.</t>
  </si>
  <si>
    <t>Scoring based on adapted NoCAM method - see "NoCAM update tables" tab for method. Primarily based on severity of metal EQS failure plus ecological impacts and pollution of groundwater.</t>
  </si>
  <si>
    <t>WAMM ranking</t>
  </si>
  <si>
    <t xml:space="preserve">For England and for relevant River Basin District. </t>
  </si>
  <si>
    <t>Water bodies given indicative priority of high, medium or low by WAMM Programme Manager.</t>
  </si>
  <si>
    <t>NoCAM report is on gov.uk but was updated in 2015 and 2016 (unpublished):</t>
  </si>
  <si>
    <t>https://www.gov.uk/government/publications/prioritisation-of-abandoned-non-coal-mine-impacts-on-the-environment</t>
  </si>
  <si>
    <t>Water body information</t>
  </si>
  <si>
    <t>2019 IMPACT</t>
  </si>
  <si>
    <t>Last updated</t>
  </si>
  <si>
    <t>Updated</t>
  </si>
  <si>
    <t>By</t>
  </si>
  <si>
    <t xml:space="preserve">2. WAMM water body rank (Nov 2019): there are about 100 water bodies in England that fail to achieve good status due to pollution from abandoned metal mines (~1,500 km). An indicative impact score has been calculated based on the number of metals causing pollution, and the severity of this pollution. Scores and ranking will change as further information is gathered. These data were updated in August 2019 from the previous February 2018 OpenData file. </t>
  </si>
  <si>
    <t>Hugh Potter (Environment Agency)</t>
  </si>
  <si>
    <t>2019 EQS_score</t>
  </si>
  <si>
    <t>Nov 2019 Ranked_EQS</t>
  </si>
  <si>
    <t>Nov 2019 Ecol_imp</t>
  </si>
  <si>
    <t>Nov 2019 GW_imp</t>
  </si>
  <si>
    <t>2019 (Nov) WAMM score</t>
  </si>
  <si>
    <t>WAMM rank (Eng) (Nov 2019)</t>
  </si>
  <si>
    <t>WAMM rank (RBD) (Nov 2019)</t>
  </si>
  <si>
    <t>Columns:</t>
  </si>
  <si>
    <t>Data names:</t>
  </si>
  <si>
    <t>A to G</t>
  </si>
  <si>
    <t>H to N</t>
  </si>
  <si>
    <t>O</t>
  </si>
  <si>
    <t>IMPACT = confirmed pollution (EQS failure); PROBABLY IMPACTED = occasional pollution (EQS failure)</t>
  </si>
  <si>
    <t>P to T</t>
  </si>
  <si>
    <t>WAMM scores, EQS_score, Ecol_imp, GW_imp</t>
  </si>
  <si>
    <t>U to V</t>
  </si>
  <si>
    <t>W</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</si>
</sst>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64" formatCode="0.0"/>
    <numFmt numFmtId="165" formatCode="_-* #,##0_-;\-* #,##0_-;_-* &quot;-&quot;??_-;_-@_-"/>
  </numFmts>
  <fonts count="32" x14ac:knownFonts="1">
    <font>
      <sz val="12"/>
      <color theme="1"/>
      <name val="Arial"/>
      <family val="2"/>
    </font>
    <font>
      <sz val="12"/>
      <color theme="1"/>
      <name val="Arial"/>
      <family val="2"/>
    </font>
    <font>
      <b/>
      <sz val="11"/>
      <color theme="1"/>
      <name val="Calibri"/>
      <family val="2"/>
      <scheme val="minor"/>
    </font>
    <font>
      <sz val="11"/>
      <color theme="1"/>
      <name val="Calibri"/>
      <family val="2"/>
      <scheme val="minor"/>
    </font>
    <font>
      <sz val="10"/>
      <color theme="1"/>
      <name val="Arial"/>
      <family val="2"/>
    </font>
    <font>
      <sz val="12"/>
      <name val="Arial"/>
      <family val="2"/>
    </font>
    <font>
      <sz val="10"/>
      <name val="Arial"/>
      <family val="2"/>
    </font>
    <font>
      <sz val="10"/>
      <color theme="1"/>
      <name val="Calibri"/>
      <family val="2"/>
      <scheme val="minor"/>
    </font>
    <font>
      <sz val="9"/>
      <color indexed="81"/>
      <name val="Tahoma"/>
      <family val="2"/>
    </font>
    <font>
      <b/>
      <sz val="9"/>
      <color indexed="81"/>
      <name val="Tahoma"/>
      <family val="2"/>
    </font>
    <font>
      <b/>
      <sz val="10"/>
      <color theme="1"/>
      <name val="Calibri"/>
      <family val="2"/>
      <scheme val="minor"/>
    </font>
    <font>
      <sz val="10"/>
      <name val="Calibri"/>
      <family val="2"/>
      <scheme val="minor"/>
    </font>
    <font>
      <b/>
      <sz val="18"/>
      <color theme="3"/>
      <name val="Cambria"/>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65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0"/>
      <color theme="1"/>
      <name val="Calibri"/>
      <family val="2"/>
      <scheme val="minor"/>
    </font>
    <font>
      <sz val="12"/>
      <name val="Calibri"/>
      <family val="2"/>
      <scheme val="minor"/>
    </font>
    <font>
      <vertAlign val="superscript"/>
      <sz val="36"/>
      <name val="Calibri"/>
      <family val="2"/>
      <scheme val="minor"/>
    </font>
    <font>
      <u/>
      <sz val="12"/>
      <color theme="10"/>
      <name val="Arial"/>
      <family val="2"/>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3">
    <xf numFmtId="0" fontId="0" fillId="0" borderId="0"/>
    <xf numFmtId="0" fontId="5" fillId="0" borderId="0"/>
    <xf numFmtId="0" fontId="6" fillId="0" borderId="0"/>
    <xf numFmtId="0" fontId="5" fillId="0" borderId="0"/>
    <xf numFmtId="0" fontId="1" fillId="0" borderId="0"/>
    <xf numFmtId="0" fontId="1" fillId="0" borderId="0"/>
    <xf numFmtId="0" fontId="1" fillId="2" borderId="1" applyNumberFormat="0" applyFont="0" applyAlignment="0" applyProtection="0"/>
    <xf numFmtId="9" fontId="1" fillId="0" borderId="0" applyFont="0" applyFill="0" applyBorder="0" applyAlignment="0" applyProtection="0"/>
    <xf numFmtId="43" fontId="1" fillId="0" borderId="0" applyFont="0" applyFill="0" applyBorder="0" applyAlignment="0" applyProtection="0"/>
    <xf numFmtId="0" fontId="12" fillId="0" borderId="0" applyNumberFormat="0" applyFill="0" applyBorder="0" applyAlignment="0" applyProtection="0"/>
    <xf numFmtId="0" fontId="13" fillId="0" borderId="2"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0" applyNumberFormat="0" applyFill="0" applyBorder="0" applyAlignment="0" applyProtection="0"/>
    <xf numFmtId="0" fontId="16" fillId="3" borderId="0" applyNumberFormat="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5" applyNumberFormat="0" applyAlignment="0" applyProtection="0"/>
    <xf numFmtId="0" fontId="20" fillId="7" borderId="6" applyNumberFormat="0" applyAlignment="0" applyProtection="0"/>
    <xf numFmtId="0" fontId="21" fillId="7" borderId="5" applyNumberFormat="0" applyAlignment="0" applyProtection="0"/>
    <xf numFmtId="0" fontId="22" fillId="0" borderId="7" applyNumberFormat="0" applyFill="0" applyAlignment="0" applyProtection="0"/>
    <xf numFmtId="0" fontId="23" fillId="8" borderId="8" applyNumberFormat="0" applyAlignment="0" applyProtection="0"/>
    <xf numFmtId="0" fontId="24" fillId="0" borderId="0" applyNumberFormat="0" applyFill="0" applyBorder="0" applyAlignment="0" applyProtection="0"/>
    <xf numFmtId="0" fontId="1" fillId="2" borderId="1" applyNumberFormat="0" applyFon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7" fillId="32" borderId="0" applyNumberFormat="0" applyBorder="0" applyAlignment="0" applyProtection="0"/>
    <xf numFmtId="0" fontId="3" fillId="0" borderId="0"/>
    <xf numFmtId="9" fontId="1" fillId="0" borderId="0" applyFont="0" applyFill="0" applyBorder="0" applyAlignment="0" applyProtection="0"/>
    <xf numFmtId="0" fontId="31" fillId="0" borderId="0" applyNumberFormat="0" applyFill="0" applyBorder="0" applyAlignment="0" applyProtection="0"/>
  </cellStyleXfs>
  <cellXfs count="47">
    <xf numFmtId="0" fontId="0" fillId="0" borderId="0" xfId="0"/>
    <xf numFmtId="1" fontId="10" fillId="0" borderId="0" xfId="1" applyNumberFormat="1" applyFont="1" applyFill="1" applyAlignment="1">
      <alignment horizontal="center" wrapText="1"/>
    </xf>
    <xf numFmtId="0" fontId="11" fillId="0" borderId="0" xfId="1" applyFont="1" applyFill="1"/>
    <xf numFmtId="1" fontId="11" fillId="0" borderId="0" xfId="1" applyNumberFormat="1" applyFont="1" applyFill="1"/>
    <xf numFmtId="0" fontId="11" fillId="0" borderId="0" xfId="1" applyFont="1" applyFill="1" applyAlignment="1">
      <alignment horizontal="center"/>
    </xf>
    <xf numFmtId="1" fontId="11" fillId="0" borderId="0" xfId="0" applyNumberFormat="1" applyFont="1" applyFill="1"/>
    <xf numFmtId="164" fontId="11" fillId="0" borderId="0" xfId="1" applyNumberFormat="1" applyFont="1" applyFill="1"/>
    <xf numFmtId="0" fontId="11" fillId="0" borderId="0" xfId="0" applyFont="1" applyFill="1"/>
    <xf numFmtId="0" fontId="4" fillId="0" borderId="0" xfId="0" applyFont="1" applyFill="1"/>
    <xf numFmtId="1" fontId="7" fillId="0" borderId="0" xfId="0" applyNumberFormat="1" applyFont="1" applyFill="1"/>
    <xf numFmtId="0" fontId="7" fillId="0" borderId="0" xfId="0" applyFont="1" applyFill="1"/>
    <xf numFmtId="0" fontId="11" fillId="0" borderId="0" xfId="1" applyFont="1" applyFill="1" applyAlignment="1"/>
    <xf numFmtId="1" fontId="7" fillId="0" borderId="0" xfId="1" applyNumberFormat="1" applyFont="1" applyFill="1" applyAlignment="1">
      <alignment wrapText="1"/>
    </xf>
    <xf numFmtId="1" fontId="10" fillId="0" borderId="0" xfId="1" applyNumberFormat="1" applyFont="1" applyFill="1" applyAlignment="1">
      <alignment wrapText="1"/>
    </xf>
    <xf numFmtId="1" fontId="7" fillId="0" borderId="0" xfId="0" applyNumberFormat="1" applyFont="1" applyFill="1" applyAlignment="1">
      <alignment wrapText="1"/>
    </xf>
    <xf numFmtId="1" fontId="7" fillId="0" borderId="0" xfId="1" applyNumberFormat="1" applyFont="1" applyFill="1" applyAlignment="1">
      <alignment horizontal="center" wrapText="1"/>
    </xf>
    <xf numFmtId="0" fontId="11" fillId="0" borderId="0" xfId="1" applyFont="1" applyFill="1" applyAlignment="1">
      <alignment wrapText="1"/>
    </xf>
    <xf numFmtId="1" fontId="7" fillId="0" borderId="0" xfId="1" applyNumberFormat="1" applyFont="1" applyFill="1"/>
    <xf numFmtId="164" fontId="7" fillId="0" borderId="0" xfId="1" applyNumberFormat="1" applyFont="1" applyFill="1"/>
    <xf numFmtId="0" fontId="7" fillId="0" borderId="0" xfId="0" applyFont="1" applyFill="1" applyAlignment="1">
      <alignment horizontal="center"/>
    </xf>
    <xf numFmtId="1" fontId="7" fillId="0" borderId="0" xfId="0" applyNumberFormat="1" applyFont="1" applyFill="1" applyAlignment="1">
      <alignment horizontal="center"/>
    </xf>
    <xf numFmtId="0" fontId="7" fillId="0" borderId="0" xfId="1" applyFont="1" applyFill="1" applyAlignment="1">
      <alignment horizontal="center"/>
    </xf>
    <xf numFmtId="165" fontId="11" fillId="0" borderId="0" xfId="8" applyNumberFormat="1" applyFont="1" applyFill="1"/>
    <xf numFmtId="14" fontId="11" fillId="0" borderId="0" xfId="1" applyNumberFormat="1" applyFont="1" applyFill="1"/>
    <xf numFmtId="0" fontId="7" fillId="0" borderId="0" xfId="0" applyFont="1" applyFill="1" applyAlignment="1">
      <alignment horizontal="center" vertical="center"/>
    </xf>
    <xf numFmtId="1" fontId="28" fillId="0" borderId="0" xfId="1" applyNumberFormat="1" applyFont="1" applyFill="1"/>
    <xf numFmtId="1" fontId="28" fillId="0" borderId="0" xfId="0" applyNumberFormat="1" applyFont="1" applyFill="1"/>
    <xf numFmtId="0" fontId="29" fillId="0" borderId="0" xfId="0" applyFont="1" applyBorder="1" applyAlignment="1">
      <alignment horizontal="left" vertical="center"/>
    </xf>
    <xf numFmtId="0" fontId="29" fillId="0" borderId="0" xfId="0" applyFont="1" applyBorder="1"/>
    <xf numFmtId="0" fontId="0" fillId="0" borderId="0" xfId="0" applyFont="1" applyBorder="1"/>
    <xf numFmtId="0" fontId="0" fillId="0" borderId="0" xfId="0" applyFont="1" applyBorder="1" applyAlignment="1">
      <alignment horizontal="left" vertical="center"/>
    </xf>
    <xf numFmtId="0" fontId="0" fillId="0" borderId="0" xfId="0" applyFont="1" applyBorder="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31" fillId="0" borderId="0" xfId="52"/>
    <xf numFmtId="0" fontId="0" fillId="0" borderId="0" xfId="0" applyFill="1"/>
    <xf numFmtId="0" fontId="7" fillId="0" borderId="0" xfId="0" applyNumberFormat="1" applyFont="1" applyFill="1" applyBorder="1" applyAlignment="1" applyProtection="1"/>
    <xf numFmtId="164" fontId="7" fillId="0" borderId="0" xfId="0" applyNumberFormat="1" applyFont="1" applyFill="1" applyBorder="1" applyAlignment="1" applyProtection="1"/>
    <xf numFmtId="0" fontId="7" fillId="0" borderId="0" xfId="0" applyNumberFormat="1" applyFont="1" applyFill="1" applyBorder="1" applyAlignment="1" applyProtection="1">
      <alignment horizontal="center"/>
    </xf>
    <xf numFmtId="0" fontId="11" fillId="0" borderId="0" xfId="0" applyNumberFormat="1" applyFont="1" applyFill="1" applyBorder="1" applyAlignment="1" applyProtection="1">
      <alignment horizontal="center"/>
    </xf>
    <xf numFmtId="0" fontId="3" fillId="0" borderId="0" xfId="0" applyFont="1" applyAlignment="1">
      <alignment horizontal="left" vertical="center" wrapText="1"/>
    </xf>
    <xf numFmtId="15" fontId="11" fillId="0" borderId="0" xfId="1" applyNumberFormat="1" applyFont="1" applyFill="1"/>
    <xf numFmtId="15" fontId="3" fillId="0" borderId="0" xfId="0" applyNumberFormat="1"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wrapText="1"/>
    </xf>
    <xf numFmtId="0" fontId="29" fillId="0" borderId="0" xfId="0" applyFont="1" applyBorder="1" applyAlignment="1">
      <alignment vertical="center"/>
    </xf>
    <xf numFmtId="0" fontId="29" fillId="0" borderId="0" xfId="0" applyFont="1" applyBorder="1" applyAlignment="1">
      <alignment vertical="center" wrapText="1"/>
    </xf>
  </cellXfs>
  <cellStyles count="53">
    <cellStyle name="20% - Accent1" xfId="27" builtinId="30" customBuiltin="1"/>
    <cellStyle name="20% - Accent2" xfId="31" builtinId="34" customBuiltin="1"/>
    <cellStyle name="20% - Accent3" xfId="35" builtinId="38" customBuiltin="1"/>
    <cellStyle name="20% - Accent4" xfId="39" builtinId="42" customBuiltin="1"/>
    <cellStyle name="20% - Accent5" xfId="43" builtinId="46" customBuiltin="1"/>
    <cellStyle name="20% - Accent6" xfId="47" builtinId="50" customBuiltin="1"/>
    <cellStyle name="40% - Accent1" xfId="28" builtinId="31" customBuiltin="1"/>
    <cellStyle name="40% - Accent2" xfId="32" builtinId="35" customBuiltin="1"/>
    <cellStyle name="40% - Accent3" xfId="36" builtinId="39" customBuiltin="1"/>
    <cellStyle name="40% - Accent4" xfId="40" builtinId="43" customBuiltin="1"/>
    <cellStyle name="40% - Accent5" xfId="44" builtinId="47" customBuiltin="1"/>
    <cellStyle name="40% - Accent6" xfId="48" builtinId="51" customBuiltin="1"/>
    <cellStyle name="60% - Accent1" xfId="29" builtinId="32" customBuiltin="1"/>
    <cellStyle name="60% - Accent2" xfId="33" builtinId="36" customBuiltin="1"/>
    <cellStyle name="60% - Accent3" xfId="37" builtinId="40" customBuiltin="1"/>
    <cellStyle name="60% - Accent4" xfId="41" builtinId="44" customBuiltin="1"/>
    <cellStyle name="60% - Accent5" xfId="45" builtinId="48" customBuiltin="1"/>
    <cellStyle name="60% - Accent6" xfId="49" builtinId="52" customBuiltin="1"/>
    <cellStyle name="Accent1" xfId="26" builtinId="29" customBuiltin="1"/>
    <cellStyle name="Accent2" xfId="30" builtinId="33" customBuiltin="1"/>
    <cellStyle name="Accent3" xfId="34" builtinId="37" customBuiltin="1"/>
    <cellStyle name="Accent4" xfId="38" builtinId="41" customBuiltin="1"/>
    <cellStyle name="Accent5" xfId="42" builtinId="45" customBuiltin="1"/>
    <cellStyle name="Accent6" xfId="46" builtinId="49" customBuiltin="1"/>
    <cellStyle name="Bad" xfId="15" builtinId="27" customBuiltin="1"/>
    <cellStyle name="Calculation" xfId="19" builtinId="22" customBuiltin="1"/>
    <cellStyle name="Check Cell" xfId="21" builtinId="23" customBuiltin="1"/>
    <cellStyle name="Comma" xfId="8" builtinId="3"/>
    <cellStyle name="Explanatory Text" xfId="24" builtinId="53" customBuiltin="1"/>
    <cellStyle name="Good" xfId="14" builtinId="26" customBuiltin="1"/>
    <cellStyle name="Heading 1" xfId="10" builtinId="16" customBuiltin="1"/>
    <cellStyle name="Heading 2" xfId="11" builtinId="17" customBuiltin="1"/>
    <cellStyle name="Heading 3" xfId="12" builtinId="18" customBuiltin="1"/>
    <cellStyle name="Heading 4" xfId="13" builtinId="19" customBuiltin="1"/>
    <cellStyle name="Hyperlink" xfId="52" builtinId="8"/>
    <cellStyle name="Input" xfId="17" builtinId="20" customBuiltin="1"/>
    <cellStyle name="Linked Cell" xfId="20" builtinId="24" customBuiltin="1"/>
    <cellStyle name="Neutral" xfId="16" builtinId="28" customBuiltin="1"/>
    <cellStyle name="Normal" xfId="0" builtinId="0"/>
    <cellStyle name="Normal 2" xfId="1"/>
    <cellStyle name="Normal 2 2" xfId="2"/>
    <cellStyle name="Normal 2 3" xfId="50"/>
    <cellStyle name="Normal 3" xfId="3"/>
    <cellStyle name="Normal 4" xfId="4"/>
    <cellStyle name="Normal 5" xfId="5"/>
    <cellStyle name="Note" xfId="23" builtinId="10" customBuiltin="1"/>
    <cellStyle name="Note 2" xfId="6"/>
    <cellStyle name="Output" xfId="18" builtinId="21" customBuiltin="1"/>
    <cellStyle name="Percent 2" xfId="7"/>
    <cellStyle name="Percent 3" xfId="51"/>
    <cellStyle name="Title" xfId="9" builtinId="15" customBuiltin="1"/>
    <cellStyle name="Total" xfId="25" builtinId="25" customBuiltin="1"/>
    <cellStyle name="Warning Text" xfId="22" builtinId="11" customBuiltin="1"/>
  </cellStyles>
  <dxfs count="147">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dxf>
    <dxf>
      <font>
        <b val="0"/>
        <i val="0"/>
        <strike val="0"/>
        <condense val="0"/>
        <extend val="0"/>
        <outline val="0"/>
        <shadow val="0"/>
        <u val="none"/>
        <vertAlign val="baseline"/>
        <sz val="10"/>
        <color theme="1"/>
        <name val="Arial"/>
        <scheme val="none"/>
      </font>
      <fill>
        <patternFill patternType="none">
          <fgColor indexed="64"/>
          <bgColor indexed="65"/>
        </patternFill>
      </fill>
    </dxf>
    <dxf>
      <font>
        <b val="0"/>
        <i val="0"/>
        <strike val="0"/>
        <condense val="0"/>
        <extend val="0"/>
        <outline val="0"/>
        <shadow val="0"/>
        <u val="none"/>
        <vertAlign val="baseline"/>
        <sz val="10"/>
        <color theme="1"/>
        <name val="Arial"/>
        <scheme val="none"/>
      </font>
      <fill>
        <patternFill patternType="none">
          <fgColor indexed="64"/>
          <bgColor indexed="65"/>
        </patternFill>
      </fill>
    </dxf>
    <dxf>
      <font>
        <b val="0"/>
        <i val="0"/>
        <strike val="0"/>
        <condense val="0"/>
        <extend val="0"/>
        <outline val="0"/>
        <shadow val="0"/>
        <u val="none"/>
        <vertAlign val="baseline"/>
        <sz val="10"/>
        <color theme="1"/>
        <name val="Arial"/>
        <scheme val="none"/>
      </font>
      <fill>
        <patternFill patternType="none">
          <fgColor indexed="64"/>
          <bgColor indexed="65"/>
        </patternFill>
      </fill>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indexed="65"/>
        </patternFill>
      </fill>
    </dxf>
    <dxf>
      <font>
        <b val="0"/>
        <i val="0"/>
        <strike val="0"/>
        <condense val="0"/>
        <extend val="0"/>
        <outline val="0"/>
        <shadow val="0"/>
        <u val="none"/>
        <vertAlign val="baseline"/>
        <sz val="10"/>
        <color theme="1"/>
        <name val="Arial"/>
        <scheme val="none"/>
      </font>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164" formatCode="0.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64" formatCode="0.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fill>
        <patternFill patternType="none">
          <fgColor indexed="64"/>
          <bgColor indexed="65"/>
        </patternFill>
      </fill>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scheme val="minor"/>
      </font>
      <numFmt numFmtId="1" formatCode="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15</xdr:row>
      <xdr:rowOff>85725</xdr:rowOff>
    </xdr:from>
    <xdr:to>
      <xdr:col>8</xdr:col>
      <xdr:colOff>733425</xdr:colOff>
      <xdr:row>32</xdr:row>
      <xdr:rowOff>38100</xdr:rowOff>
    </xdr:to>
    <xdr:pic>
      <xdr:nvPicPr>
        <xdr:cNvPr id="19458"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95250" y="2943225"/>
          <a:ext cx="6734175" cy="3190875"/>
        </a:xfrm>
        <a:prstGeom prst="rect">
          <a:avLst/>
        </a:prstGeom>
        <a:noFill/>
      </xdr:spPr>
    </xdr:pic>
    <xdr:clientData/>
  </xdr:twoCellAnchor>
  <xdr:twoCellAnchor editAs="oneCell">
    <xdr:from>
      <xdr:col>0</xdr:col>
      <xdr:colOff>57150</xdr:colOff>
      <xdr:row>2</xdr:row>
      <xdr:rowOff>161925</xdr:rowOff>
    </xdr:from>
    <xdr:to>
      <xdr:col>9</xdr:col>
      <xdr:colOff>695325</xdr:colOff>
      <xdr:row>14</xdr:row>
      <xdr:rowOff>180975</xdr:rowOff>
    </xdr:to>
    <xdr:pic>
      <xdr:nvPicPr>
        <xdr:cNvPr id="19459"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7150" y="542925"/>
          <a:ext cx="7496175" cy="2305050"/>
        </a:xfrm>
        <a:prstGeom prst="rect">
          <a:avLst/>
        </a:prstGeom>
        <a:noFill/>
      </xdr:spPr>
    </xdr:pic>
    <xdr:clientData/>
  </xdr:twoCellAnchor>
  <xdr:twoCellAnchor editAs="oneCell">
    <xdr:from>
      <xdr:col>9</xdr:col>
      <xdr:colOff>757321</xdr:colOff>
      <xdr:row>1</xdr:row>
      <xdr:rowOff>57150</xdr:rowOff>
    </xdr:from>
    <xdr:to>
      <xdr:col>15</xdr:col>
      <xdr:colOff>371475</xdr:colOff>
      <xdr:row>23</xdr:row>
      <xdr:rowOff>142874</xdr:rowOff>
    </xdr:to>
    <xdr:pic>
      <xdr:nvPicPr>
        <xdr:cNvPr id="19460" name="Picture 4"/>
        <xdr:cNvPicPr>
          <a:picLocks noChangeAspect="1" noChangeArrowheads="1"/>
        </xdr:cNvPicPr>
      </xdr:nvPicPr>
      <xdr:blipFill>
        <a:blip xmlns:r="http://schemas.openxmlformats.org/officeDocument/2006/relationships" r:embed="rId3" cstate="print"/>
        <a:srcRect/>
        <a:stretch>
          <a:fillRect/>
        </a:stretch>
      </xdr:blipFill>
      <xdr:spPr bwMode="auto">
        <a:xfrm>
          <a:off x="7615321" y="247650"/>
          <a:ext cx="4471904" cy="4276724"/>
        </a:xfrm>
        <a:prstGeom prst="rect">
          <a:avLst/>
        </a:prstGeom>
        <a:noFill/>
      </xdr:spPr>
    </xdr:pic>
    <xdr:clientData/>
  </xdr:twoCellAnchor>
</xdr:wsDr>
</file>

<file path=xl/tables/table1.xml><?xml version="1.0" encoding="utf-8"?>
<table xmlns="http://schemas.openxmlformats.org/spreadsheetml/2006/main" id="3" name="WAMM_May20173" displayName="WAMM_May20173" ref="A2:W105" totalsRowCount="1" headerRowDxfId="48" dataDxfId="47" totalsRowDxfId="46">
  <autoFilter ref="A2:W104"/>
  <sortState ref="A3:AC104">
    <sortCondition ref="A2:A104"/>
  </sortState>
  <tableColumns count="23">
    <tableColumn id="1" name="EA_WB_ID" totalsRowLabel="Total" dataDxfId="45" totalsRowDxfId="44" dataCellStyle="Normal 2"/>
    <tableColumn id="2" name="NAME" dataDxfId="43" totalsRowDxfId="42" dataCellStyle="Normal 2"/>
    <tableColumn id="3" name="Op_catchment" dataDxfId="41" totalsRowDxfId="40"/>
    <tableColumn id="4" name="Mgmt_catchment" dataDxfId="39" totalsRowDxfId="38" dataCellStyle="Normal 2"/>
    <tableColumn id="6" name="RBD_name" dataDxfId="37" totalsRowDxfId="36" dataCellStyle="Normal 2"/>
    <tableColumn id="7" name="Length_km" totalsRowFunction="sum" dataDxfId="35" totalsRowDxfId="34" dataCellStyle="Normal 2"/>
    <tableColumn id="8" name="AREA_NAME" dataDxfId="33" totalsRowDxfId="32" dataCellStyle="Normal 2"/>
    <tableColumn id="45" name="2019_Aug_HP_review" dataDxfId="31" totalsRowDxfId="30" dataCellStyle="Normal 2"/>
    <tableColumn id="46" name="Cd 2019" dataDxfId="29" totalsRowDxfId="28" dataCellStyle="Normal 2"/>
    <tableColumn id="47" name="Pb 2019" dataDxfId="27" totalsRowDxfId="26" dataCellStyle="Normal 2"/>
    <tableColumn id="48" name="Ni 2019" dataDxfId="25" totalsRowDxfId="24" dataCellStyle="Normal 2"/>
    <tableColumn id="49" name="Cu 2019" dataDxfId="23" totalsRowDxfId="22" dataCellStyle="Normal 2"/>
    <tableColumn id="50" name="Zn 2019" dataDxfId="21" totalsRowDxfId="20" dataCellStyle="Normal 2"/>
    <tableColumn id="51" name="Fe_2019" dataDxfId="19" totalsRowDxfId="18" dataCellStyle="Normal 2"/>
    <tableColumn id="41" name="2019 IMPACT" dataDxfId="17" totalsRowDxfId="16"/>
    <tableColumn id="39" name="2019 EQS_score" dataDxfId="15" totalsRowDxfId="14"/>
    <tableColumn id="40" name="Nov 2019 Ranked_EQS" dataDxfId="13" totalsRowDxfId="12"/>
    <tableColumn id="42" name="Nov 2019 Ecol_imp" dataDxfId="11" totalsRowDxfId="10"/>
    <tableColumn id="43" name="Nov 2019 GW_imp" dataDxfId="9" totalsRowDxfId="8"/>
    <tableColumn id="55" name="2019 (Nov) WAMM score" dataDxfId="7" totalsRowDxfId="6"/>
    <tableColumn id="56" name="WAMM rank (Eng) (Nov 2019)" dataDxfId="5" totalsRowDxfId="4" dataCellStyle="Normal 2"/>
    <tableColumn id="57" name="WAMM rank (RBD) (Nov 2019)" dataDxfId="3" totalsRowDxfId="2" dataCellStyle="Normal 2"/>
    <tableColumn id="58" name="WAMM priority" dataDxfId="1" totalsRowDxfId="0" dataCellStyle="Normal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gov.uk/government/publications/prioritisation-of-abandoned-non-coal-mine-impacts-on-the-environ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election activeCell="A11" sqref="A11"/>
    </sheetView>
  </sheetViews>
  <sheetFormatPr defaultRowHeight="15" x14ac:dyDescent="0.2"/>
  <cols>
    <col min="1" max="1" width="8.88671875" customWidth="1"/>
    <col min="2" max="2" width="18.21875" customWidth="1"/>
  </cols>
  <sheetData>
    <row r="1" spans="1:18" ht="15.75" customHeight="1" x14ac:dyDescent="0.25">
      <c r="A1" s="27" t="s">
        <v>301</v>
      </c>
      <c r="B1" s="28"/>
      <c r="C1" s="28"/>
      <c r="D1" s="28"/>
      <c r="E1" s="28"/>
      <c r="F1" s="28"/>
      <c r="G1" s="29"/>
      <c r="H1" s="29"/>
      <c r="I1" s="29"/>
      <c r="J1" s="30"/>
      <c r="K1" s="30"/>
      <c r="L1" s="31"/>
      <c r="M1" s="30"/>
      <c r="N1" s="30"/>
      <c r="O1" s="30"/>
      <c r="P1" s="30"/>
      <c r="Q1" s="30"/>
    </row>
    <row r="2" spans="1:18" ht="15.75" x14ac:dyDescent="0.2">
      <c r="A2" s="45" t="s">
        <v>302</v>
      </c>
      <c r="B2" s="45"/>
      <c r="C2" s="45"/>
      <c r="D2" s="45"/>
      <c r="E2" s="45"/>
      <c r="F2" s="45"/>
      <c r="G2" s="45"/>
      <c r="H2" s="45"/>
      <c r="I2" s="45"/>
      <c r="J2" s="45"/>
      <c r="K2" s="45"/>
      <c r="L2" s="45"/>
      <c r="M2" s="45"/>
      <c r="N2" s="45"/>
      <c r="O2" s="45"/>
      <c r="P2" s="45"/>
      <c r="Q2" s="45"/>
    </row>
    <row r="3" spans="1:18" ht="46.5" customHeight="1" x14ac:dyDescent="0.2">
      <c r="A3" s="46" t="s">
        <v>319</v>
      </c>
      <c r="B3" s="46"/>
      <c r="C3" s="46"/>
      <c r="D3" s="46"/>
      <c r="E3" s="46"/>
      <c r="F3" s="46"/>
      <c r="G3" s="46"/>
      <c r="H3" s="46"/>
      <c r="I3" s="46"/>
      <c r="J3" s="46"/>
      <c r="K3" s="46"/>
      <c r="L3" s="46"/>
      <c r="M3" s="46"/>
      <c r="N3" s="46"/>
      <c r="O3" s="46"/>
      <c r="P3" s="46"/>
      <c r="Q3" s="46"/>
    </row>
    <row r="4" spans="1:18" ht="46.5" customHeight="1" x14ac:dyDescent="0.2">
      <c r="A4" s="46" t="s">
        <v>303</v>
      </c>
      <c r="B4" s="46"/>
      <c r="C4" s="46"/>
      <c r="D4" s="46"/>
      <c r="E4" s="46"/>
      <c r="F4" s="46"/>
      <c r="G4" s="46"/>
      <c r="H4" s="46"/>
      <c r="I4" s="46"/>
      <c r="J4" s="46"/>
      <c r="K4" s="46"/>
      <c r="L4" s="46"/>
      <c r="M4" s="46"/>
      <c r="N4" s="46"/>
      <c r="O4" s="46"/>
      <c r="P4" s="46"/>
      <c r="Q4" s="46"/>
    </row>
    <row r="5" spans="1:18" ht="15.75" x14ac:dyDescent="0.2">
      <c r="A5" s="45" t="s">
        <v>304</v>
      </c>
      <c r="B5" s="45"/>
      <c r="C5" s="45"/>
      <c r="D5" s="45"/>
      <c r="E5" s="45"/>
      <c r="F5" s="45"/>
      <c r="G5" s="45"/>
      <c r="H5" s="45"/>
      <c r="I5" s="45"/>
      <c r="J5" s="45"/>
      <c r="K5" s="45"/>
      <c r="L5" s="45"/>
      <c r="M5" s="45"/>
      <c r="N5" s="45"/>
      <c r="O5" s="45"/>
      <c r="P5" s="45"/>
      <c r="Q5" s="45"/>
    </row>
    <row r="6" spans="1:18" ht="15.75" x14ac:dyDescent="0.2">
      <c r="A6" s="45" t="s">
        <v>305</v>
      </c>
      <c r="B6" s="45"/>
      <c r="C6" s="45"/>
      <c r="D6" s="45"/>
      <c r="E6" s="45"/>
      <c r="F6" s="45"/>
      <c r="G6" s="45"/>
      <c r="H6" s="45"/>
      <c r="I6" s="45"/>
      <c r="J6" s="45"/>
      <c r="K6" s="45"/>
      <c r="L6" s="45"/>
      <c r="M6" s="45"/>
      <c r="N6" s="45"/>
      <c r="O6" s="45"/>
      <c r="P6" s="45"/>
      <c r="Q6" s="45"/>
    </row>
    <row r="7" spans="1:18" x14ac:dyDescent="0.2">
      <c r="A7" s="32"/>
      <c r="B7" s="32"/>
      <c r="C7" s="32"/>
      <c r="D7" s="32"/>
      <c r="E7" s="32"/>
      <c r="F7" s="32"/>
      <c r="G7" s="32"/>
      <c r="H7" s="32"/>
      <c r="I7" s="32"/>
      <c r="J7" s="32"/>
      <c r="K7" s="32"/>
      <c r="L7" s="32"/>
      <c r="M7" s="32"/>
      <c r="N7" s="32"/>
      <c r="O7" s="32"/>
      <c r="P7" s="32"/>
      <c r="Q7" s="32"/>
    </row>
    <row r="8" spans="1:18" x14ac:dyDescent="0.2">
      <c r="A8" s="33" t="s">
        <v>328</v>
      </c>
      <c r="B8" s="33" t="s">
        <v>329</v>
      </c>
      <c r="C8" s="33" t="s">
        <v>206</v>
      </c>
      <c r="D8" s="32"/>
      <c r="E8" s="32"/>
      <c r="F8" s="32"/>
      <c r="G8" s="32"/>
      <c r="H8" s="32"/>
      <c r="I8" s="32"/>
      <c r="J8" s="32"/>
      <c r="K8" s="32"/>
      <c r="L8" s="32"/>
      <c r="M8" s="32"/>
      <c r="N8" s="32"/>
      <c r="O8" s="32"/>
      <c r="P8" s="32"/>
      <c r="Q8" s="32"/>
      <c r="R8" s="32"/>
    </row>
    <row r="9" spans="1:18" x14ac:dyDescent="0.2">
      <c r="A9" s="32" t="s">
        <v>330</v>
      </c>
      <c r="B9" s="32" t="s">
        <v>314</v>
      </c>
      <c r="C9" s="32" t="s">
        <v>306</v>
      </c>
      <c r="D9" s="32"/>
      <c r="E9" s="32"/>
      <c r="F9" s="32"/>
      <c r="G9" s="32"/>
      <c r="H9" s="32"/>
      <c r="I9" s="32"/>
      <c r="J9" s="32"/>
      <c r="K9" s="32"/>
      <c r="L9" s="32"/>
      <c r="M9" s="32"/>
      <c r="N9" s="32"/>
      <c r="O9" s="32"/>
      <c r="P9" s="32"/>
      <c r="Q9" s="32"/>
      <c r="R9" s="32"/>
    </row>
    <row r="10" spans="1:18" ht="32.25" customHeight="1" x14ac:dyDescent="0.2">
      <c r="A10" s="32" t="s">
        <v>331</v>
      </c>
      <c r="B10" s="32" t="s">
        <v>271</v>
      </c>
      <c r="C10" s="44" t="s">
        <v>307</v>
      </c>
      <c r="D10" s="44"/>
      <c r="E10" s="44"/>
      <c r="F10" s="44"/>
      <c r="G10" s="44"/>
      <c r="H10" s="44"/>
      <c r="I10" s="44"/>
      <c r="J10" s="44"/>
      <c r="K10" s="44"/>
      <c r="L10" s="44"/>
      <c r="M10" s="44"/>
      <c r="N10" s="44"/>
      <c r="O10" s="44"/>
      <c r="P10" s="44"/>
      <c r="Q10" s="44"/>
      <c r="R10" s="44"/>
    </row>
    <row r="11" spans="1:18" x14ac:dyDescent="0.2">
      <c r="A11" s="32" t="s">
        <v>332</v>
      </c>
      <c r="B11" s="32" t="s">
        <v>315</v>
      </c>
      <c r="C11" s="43" t="s">
        <v>333</v>
      </c>
      <c r="D11" s="40"/>
      <c r="E11" s="40"/>
      <c r="F11" s="40"/>
      <c r="G11" s="40"/>
      <c r="H11" s="40"/>
      <c r="I11" s="40"/>
      <c r="J11" s="40"/>
      <c r="K11" s="40"/>
      <c r="L11" s="40"/>
      <c r="M11" s="40"/>
      <c r="N11" s="40"/>
      <c r="O11" s="40"/>
      <c r="P11" s="40"/>
      <c r="Q11" s="40"/>
      <c r="R11" s="40"/>
    </row>
    <row r="12" spans="1:18" x14ac:dyDescent="0.2">
      <c r="A12" s="32" t="s">
        <v>334</v>
      </c>
      <c r="B12" s="32" t="s">
        <v>335</v>
      </c>
      <c r="C12" s="32" t="s">
        <v>308</v>
      </c>
      <c r="D12" s="32"/>
      <c r="E12" s="32"/>
      <c r="F12" s="32"/>
      <c r="G12" s="32"/>
      <c r="H12" s="32"/>
      <c r="I12" s="32"/>
      <c r="J12" s="32"/>
      <c r="K12" s="32"/>
      <c r="L12" s="32"/>
      <c r="M12" s="32"/>
      <c r="N12" s="32"/>
      <c r="O12" s="32"/>
      <c r="P12" s="32"/>
      <c r="Q12" s="32"/>
      <c r="R12" s="32"/>
    </row>
    <row r="13" spans="1:18" x14ac:dyDescent="0.2">
      <c r="A13" s="32" t="s">
        <v>336</v>
      </c>
      <c r="B13" s="32" t="s">
        <v>309</v>
      </c>
      <c r="C13" s="32" t="s">
        <v>310</v>
      </c>
      <c r="D13" s="32"/>
      <c r="E13" s="32"/>
      <c r="F13" s="32"/>
      <c r="G13" s="32"/>
      <c r="H13" s="32"/>
      <c r="I13" s="32"/>
      <c r="J13" s="32"/>
      <c r="K13" s="32"/>
      <c r="L13" s="32"/>
      <c r="M13" s="32"/>
      <c r="N13" s="32"/>
      <c r="O13" s="32"/>
      <c r="P13" s="32"/>
      <c r="Q13" s="32"/>
      <c r="R13" s="32"/>
    </row>
    <row r="14" spans="1:18" x14ac:dyDescent="0.2">
      <c r="A14" s="32" t="s">
        <v>337</v>
      </c>
      <c r="B14" s="32" t="s">
        <v>242</v>
      </c>
      <c r="C14" s="32" t="s">
        <v>311</v>
      </c>
      <c r="D14" s="32"/>
      <c r="E14" s="32"/>
      <c r="F14" s="32"/>
      <c r="G14" s="32"/>
      <c r="H14" s="32"/>
      <c r="I14" s="32"/>
      <c r="J14" s="32"/>
      <c r="K14" s="32"/>
      <c r="L14" s="32"/>
      <c r="M14" s="32"/>
      <c r="N14" s="32"/>
      <c r="O14" s="32"/>
      <c r="P14" s="32"/>
      <c r="Q14" s="32"/>
      <c r="R14" s="32"/>
    </row>
    <row r="16" spans="1:18" x14ac:dyDescent="0.2">
      <c r="A16" s="32" t="s">
        <v>317</v>
      </c>
      <c r="B16" s="42">
        <v>43797</v>
      </c>
    </row>
    <row r="17" spans="1:2" x14ac:dyDescent="0.2">
      <c r="A17" s="32" t="s">
        <v>318</v>
      </c>
      <c r="B17" s="32" t="s">
        <v>320</v>
      </c>
    </row>
  </sheetData>
  <mergeCells count="6">
    <mergeCell ref="C10:R10"/>
    <mergeCell ref="A2:Q2"/>
    <mergeCell ref="A3:Q3"/>
    <mergeCell ref="A4:Q4"/>
    <mergeCell ref="A5:Q5"/>
    <mergeCell ref="A6:Q6"/>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107"/>
  <sheetViews>
    <sheetView tabSelected="1" workbookViewId="0">
      <pane xSplit="2" ySplit="2" topLeftCell="J3" activePane="bottomRight" state="frozen"/>
      <selection activeCell="AW107" sqref="AW107"/>
      <selection pane="topRight" activeCell="AW107" sqref="AW107"/>
      <selection pane="bottomLeft" activeCell="AW107" sqref="AW107"/>
      <selection pane="bottomRight" activeCell="B8" sqref="B8"/>
    </sheetView>
  </sheetViews>
  <sheetFormatPr defaultRowHeight="15" x14ac:dyDescent="0.2"/>
  <cols>
    <col min="1" max="1" width="12" style="2" customWidth="1"/>
    <col min="2" max="2" width="39.77734375" style="2" bestFit="1" customWidth="1"/>
    <col min="3" max="3" width="13" style="2" customWidth="1"/>
    <col min="4" max="4" width="12.88671875" style="2" customWidth="1"/>
    <col min="5" max="5" width="9.5546875" style="2" customWidth="1"/>
    <col min="6" max="6" width="8.88671875" style="2"/>
    <col min="7" max="14" width="9.6640625" style="2" customWidth="1"/>
    <col min="15" max="15" width="12.77734375" style="9" customWidth="1"/>
    <col min="16" max="16" width="8.21875" style="9" customWidth="1"/>
    <col min="17" max="17" width="7.44140625" style="9" customWidth="1"/>
    <col min="18" max="18" width="8.88671875" style="35"/>
    <col min="19" max="19" width="7.88671875" style="9" customWidth="1"/>
    <col min="20" max="20" width="8.88671875" style="9" customWidth="1"/>
    <col min="21" max="21" width="12.21875" style="2" customWidth="1"/>
    <col min="22" max="22" width="12.21875" style="4" customWidth="1"/>
    <col min="23" max="23" width="12" style="4" customWidth="1"/>
    <col min="24" max="24" width="8.88671875" style="11"/>
    <col min="25" max="16384" width="8.88671875" style="2"/>
  </cols>
  <sheetData>
    <row r="1" spans="1:24" ht="12.75" x14ac:dyDescent="0.2">
      <c r="A1" s="2" t="s">
        <v>316</v>
      </c>
      <c r="B1" s="41">
        <v>43798</v>
      </c>
      <c r="C1" s="23" t="s">
        <v>263</v>
      </c>
      <c r="R1" s="9"/>
      <c r="T1" s="2"/>
      <c r="U1" s="4"/>
      <c r="W1" s="11"/>
      <c r="X1" s="2"/>
    </row>
    <row r="2" spans="1:24" s="16" customFormat="1" ht="38.25" x14ac:dyDescent="0.2">
      <c r="A2" s="12" t="s">
        <v>0</v>
      </c>
      <c r="B2" s="12" t="s">
        <v>84</v>
      </c>
      <c r="C2" s="12" t="s">
        <v>210</v>
      </c>
      <c r="D2" s="12" t="s">
        <v>209</v>
      </c>
      <c r="E2" s="12" t="s">
        <v>262</v>
      </c>
      <c r="F2" s="12" t="s">
        <v>208</v>
      </c>
      <c r="G2" s="12" t="s">
        <v>204</v>
      </c>
      <c r="H2" s="12" t="s">
        <v>271</v>
      </c>
      <c r="I2" s="13" t="s">
        <v>294</v>
      </c>
      <c r="J2" s="13" t="s">
        <v>295</v>
      </c>
      <c r="K2" s="13" t="s">
        <v>296</v>
      </c>
      <c r="L2" s="13" t="s">
        <v>297</v>
      </c>
      <c r="M2" s="13" t="s">
        <v>298</v>
      </c>
      <c r="N2" s="12" t="s">
        <v>299</v>
      </c>
      <c r="O2" s="14" t="s">
        <v>315</v>
      </c>
      <c r="P2" s="14" t="s">
        <v>321</v>
      </c>
      <c r="Q2" s="14" t="s">
        <v>322</v>
      </c>
      <c r="R2" s="14" t="s">
        <v>323</v>
      </c>
      <c r="S2" s="14" t="s">
        <v>324</v>
      </c>
      <c r="T2" s="14" t="s">
        <v>325</v>
      </c>
      <c r="U2" s="12" t="s">
        <v>326</v>
      </c>
      <c r="V2" s="15" t="s">
        <v>327</v>
      </c>
      <c r="W2" s="1" t="s">
        <v>242</v>
      </c>
    </row>
    <row r="3" spans="1:24" ht="12.75" x14ac:dyDescent="0.2">
      <c r="A3" s="17" t="s">
        <v>1</v>
      </c>
      <c r="B3" s="17" t="s">
        <v>85</v>
      </c>
      <c r="C3" s="9" t="s">
        <v>211</v>
      </c>
      <c r="D3" s="17" t="s">
        <v>170</v>
      </c>
      <c r="E3" s="17" t="s">
        <v>188</v>
      </c>
      <c r="F3" s="18">
        <v>11.272860301500002</v>
      </c>
      <c r="G3" s="17" t="s">
        <v>252</v>
      </c>
      <c r="H3" s="17" t="s">
        <v>205</v>
      </c>
      <c r="I3" s="9" t="s">
        <v>239</v>
      </c>
      <c r="J3" s="9" t="s">
        <v>239</v>
      </c>
      <c r="K3" s="17"/>
      <c r="L3" s="17"/>
      <c r="M3" s="9" t="s">
        <v>239</v>
      </c>
      <c r="N3" s="17"/>
      <c r="O3" s="8" t="s">
        <v>240</v>
      </c>
      <c r="P3" s="24">
        <v>7</v>
      </c>
      <c r="Q3" s="19">
        <v>5</v>
      </c>
      <c r="R3" s="8">
        <v>2</v>
      </c>
      <c r="S3" s="8">
        <v>3</v>
      </c>
      <c r="T3" s="20">
        <v>10</v>
      </c>
      <c r="U3" s="21">
        <v>37</v>
      </c>
      <c r="V3" s="21">
        <v>1</v>
      </c>
      <c r="W3" s="4" t="s">
        <v>245</v>
      </c>
      <c r="X3" s="2"/>
    </row>
    <row r="4" spans="1:24" ht="12.75" x14ac:dyDescent="0.2">
      <c r="A4" s="25" t="s">
        <v>272</v>
      </c>
      <c r="B4" s="25" t="s">
        <v>273</v>
      </c>
      <c r="C4" s="25"/>
      <c r="D4" s="25" t="s">
        <v>170</v>
      </c>
      <c r="E4" s="26" t="s">
        <v>188</v>
      </c>
      <c r="F4" s="18">
        <v>9.6</v>
      </c>
      <c r="G4" s="25" t="s">
        <v>292</v>
      </c>
      <c r="H4" s="25" t="s">
        <v>205</v>
      </c>
      <c r="I4" s="25"/>
      <c r="J4" s="9" t="s">
        <v>239</v>
      </c>
      <c r="K4" s="25"/>
      <c r="L4" s="25"/>
      <c r="M4" s="25"/>
      <c r="N4" s="25"/>
      <c r="O4" s="8" t="s">
        <v>240</v>
      </c>
      <c r="P4" s="24">
        <v>1</v>
      </c>
      <c r="Q4" s="19">
        <v>3</v>
      </c>
      <c r="R4" s="8">
        <v>1</v>
      </c>
      <c r="S4" s="8">
        <v>0</v>
      </c>
      <c r="T4" s="20">
        <v>4</v>
      </c>
      <c r="U4" s="21">
        <v>93</v>
      </c>
      <c r="V4" s="21">
        <v>2</v>
      </c>
      <c r="W4" s="4" t="s">
        <v>245</v>
      </c>
      <c r="X4" s="2"/>
    </row>
    <row r="5" spans="1:24" ht="12.75" x14ac:dyDescent="0.2">
      <c r="A5" s="17" t="s">
        <v>2</v>
      </c>
      <c r="B5" s="17" t="s">
        <v>86</v>
      </c>
      <c r="C5" s="9" t="s">
        <v>160</v>
      </c>
      <c r="D5" s="17" t="s">
        <v>171</v>
      </c>
      <c r="E5" s="17" t="s">
        <v>189</v>
      </c>
      <c r="F5" s="18">
        <v>3.80287233487</v>
      </c>
      <c r="G5" s="17" t="s">
        <v>270</v>
      </c>
      <c r="H5" s="25" t="s">
        <v>205</v>
      </c>
      <c r="I5" s="9" t="s">
        <v>239</v>
      </c>
      <c r="J5" s="9"/>
      <c r="K5" s="17"/>
      <c r="L5" s="17"/>
      <c r="M5" s="9" t="s">
        <v>239</v>
      </c>
      <c r="N5" s="17"/>
      <c r="O5" s="8" t="s">
        <v>240</v>
      </c>
      <c r="P5" s="24">
        <v>3</v>
      </c>
      <c r="Q5" s="19">
        <v>3</v>
      </c>
      <c r="R5" s="8">
        <v>5</v>
      </c>
      <c r="S5" s="8">
        <v>0</v>
      </c>
      <c r="T5" s="20">
        <v>8</v>
      </c>
      <c r="U5" s="21">
        <v>56</v>
      </c>
      <c r="V5" s="21">
        <v>18</v>
      </c>
      <c r="W5" s="4" t="s">
        <v>245</v>
      </c>
      <c r="X5" s="2"/>
    </row>
    <row r="6" spans="1:24" ht="12.75" x14ac:dyDescent="0.2">
      <c r="A6" s="17" t="s">
        <v>3</v>
      </c>
      <c r="B6" s="17" t="s">
        <v>87</v>
      </c>
      <c r="C6" s="9" t="s">
        <v>160</v>
      </c>
      <c r="D6" s="17" t="s">
        <v>171</v>
      </c>
      <c r="E6" s="17" t="s">
        <v>189</v>
      </c>
      <c r="F6" s="18">
        <v>8.9688416854100002</v>
      </c>
      <c r="G6" s="17" t="s">
        <v>270</v>
      </c>
      <c r="H6" s="25" t="s">
        <v>205</v>
      </c>
      <c r="I6" s="9" t="s">
        <v>239</v>
      </c>
      <c r="J6" s="9" t="s">
        <v>239</v>
      </c>
      <c r="K6" s="17"/>
      <c r="L6" s="17"/>
      <c r="M6" s="9" t="s">
        <v>239</v>
      </c>
      <c r="N6" s="17"/>
      <c r="O6" s="8" t="s">
        <v>240</v>
      </c>
      <c r="P6" s="24">
        <v>9</v>
      </c>
      <c r="Q6" s="19">
        <v>6</v>
      </c>
      <c r="R6" s="8">
        <v>5</v>
      </c>
      <c r="S6" s="8">
        <v>3</v>
      </c>
      <c r="T6" s="20">
        <v>14</v>
      </c>
      <c r="U6" s="21">
        <v>9</v>
      </c>
      <c r="V6" s="21">
        <v>2</v>
      </c>
      <c r="W6" s="4" t="s">
        <v>243</v>
      </c>
      <c r="X6" s="2"/>
    </row>
    <row r="7" spans="1:24" ht="12.75" x14ac:dyDescent="0.2">
      <c r="A7" s="17" t="s">
        <v>4</v>
      </c>
      <c r="B7" s="17" t="s">
        <v>88</v>
      </c>
      <c r="C7" s="9" t="s">
        <v>160</v>
      </c>
      <c r="D7" s="17" t="s">
        <v>171</v>
      </c>
      <c r="E7" s="17" t="s">
        <v>189</v>
      </c>
      <c r="F7" s="18">
        <v>8.7953727816400011</v>
      </c>
      <c r="G7" s="17" t="s">
        <v>270</v>
      </c>
      <c r="H7" s="25" t="s">
        <v>205</v>
      </c>
      <c r="I7" s="9" t="s">
        <v>239</v>
      </c>
      <c r="J7" s="17"/>
      <c r="K7" s="17"/>
      <c r="L7" s="17"/>
      <c r="M7" s="9" t="s">
        <v>239</v>
      </c>
      <c r="N7" s="17"/>
      <c r="O7" s="8" t="s">
        <v>240</v>
      </c>
      <c r="P7" s="24">
        <v>7</v>
      </c>
      <c r="Q7" s="19">
        <v>5</v>
      </c>
      <c r="R7" s="8">
        <v>5</v>
      </c>
      <c r="S7" s="8">
        <v>0</v>
      </c>
      <c r="T7" s="20">
        <v>10</v>
      </c>
      <c r="U7" s="21">
        <v>32</v>
      </c>
      <c r="V7" s="21">
        <v>8</v>
      </c>
      <c r="W7" s="4" t="s">
        <v>243</v>
      </c>
      <c r="X7" s="2"/>
    </row>
    <row r="8" spans="1:24" ht="12.75" x14ac:dyDescent="0.2">
      <c r="A8" s="17" t="s">
        <v>5</v>
      </c>
      <c r="B8" s="17" t="s">
        <v>89</v>
      </c>
      <c r="C8" s="9" t="s">
        <v>160</v>
      </c>
      <c r="D8" s="17" t="s">
        <v>171</v>
      </c>
      <c r="E8" s="17" t="s">
        <v>189</v>
      </c>
      <c r="F8" s="18">
        <v>21.5706311472</v>
      </c>
      <c r="G8" s="17" t="s">
        <v>270</v>
      </c>
      <c r="H8" s="25" t="s">
        <v>205</v>
      </c>
      <c r="I8" s="9" t="s">
        <v>239</v>
      </c>
      <c r="J8" s="17"/>
      <c r="K8" s="17"/>
      <c r="L8" s="17"/>
      <c r="M8" s="9" t="s">
        <v>239</v>
      </c>
      <c r="N8" s="17"/>
      <c r="O8" s="8" t="s">
        <v>240</v>
      </c>
      <c r="P8" s="24">
        <v>9</v>
      </c>
      <c r="Q8" s="19">
        <v>6</v>
      </c>
      <c r="R8" s="8">
        <v>1</v>
      </c>
      <c r="S8" s="8">
        <v>3</v>
      </c>
      <c r="T8" s="20">
        <v>10</v>
      </c>
      <c r="U8" s="21">
        <v>29</v>
      </c>
      <c r="V8" s="21">
        <v>5</v>
      </c>
      <c r="W8" s="4" t="s">
        <v>243</v>
      </c>
      <c r="X8" s="2"/>
    </row>
    <row r="9" spans="1:24" ht="12.75" x14ac:dyDescent="0.2">
      <c r="A9" s="17" t="s">
        <v>6</v>
      </c>
      <c r="B9" s="17" t="s">
        <v>90</v>
      </c>
      <c r="C9" s="9" t="s">
        <v>160</v>
      </c>
      <c r="D9" s="17" t="s">
        <v>171</v>
      </c>
      <c r="E9" s="17" t="s">
        <v>189</v>
      </c>
      <c r="F9" s="18">
        <v>8.14048881095</v>
      </c>
      <c r="G9" s="17" t="s">
        <v>270</v>
      </c>
      <c r="H9" s="25" t="s">
        <v>205</v>
      </c>
      <c r="I9" s="9" t="s">
        <v>239</v>
      </c>
      <c r="J9" s="17"/>
      <c r="K9" s="17"/>
      <c r="L9" s="17"/>
      <c r="M9" s="9" t="s">
        <v>239</v>
      </c>
      <c r="N9" s="17"/>
      <c r="O9" s="8" t="s">
        <v>240</v>
      </c>
      <c r="P9" s="24">
        <v>5</v>
      </c>
      <c r="Q9" s="19">
        <v>4</v>
      </c>
      <c r="R9" s="8">
        <v>5</v>
      </c>
      <c r="S9" s="8">
        <v>0</v>
      </c>
      <c r="T9" s="20">
        <v>9</v>
      </c>
      <c r="U9" s="21">
        <v>45</v>
      </c>
      <c r="V9" s="21">
        <v>12</v>
      </c>
      <c r="W9" s="4" t="s">
        <v>243</v>
      </c>
      <c r="X9" s="2"/>
    </row>
    <row r="10" spans="1:24" ht="12.75" x14ac:dyDescent="0.2">
      <c r="A10" s="17" t="s">
        <v>7</v>
      </c>
      <c r="B10" s="17" t="s">
        <v>91</v>
      </c>
      <c r="C10" s="9" t="s">
        <v>214</v>
      </c>
      <c r="D10" s="17" t="s">
        <v>171</v>
      </c>
      <c r="E10" s="17" t="s">
        <v>189</v>
      </c>
      <c r="F10" s="18">
        <v>8.4299042353400004</v>
      </c>
      <c r="G10" s="17" t="s">
        <v>270</v>
      </c>
      <c r="H10" s="25" t="s">
        <v>205</v>
      </c>
      <c r="I10" s="17"/>
      <c r="J10" s="17"/>
      <c r="K10" s="17"/>
      <c r="L10" s="17"/>
      <c r="M10" s="9" t="s">
        <v>239</v>
      </c>
      <c r="N10" s="17"/>
      <c r="O10" s="8" t="s">
        <v>240</v>
      </c>
      <c r="P10" s="24">
        <v>2</v>
      </c>
      <c r="Q10" s="19">
        <v>3</v>
      </c>
      <c r="R10" s="8">
        <v>1</v>
      </c>
      <c r="S10" s="8">
        <v>1</v>
      </c>
      <c r="T10" s="20">
        <v>5</v>
      </c>
      <c r="U10" s="21">
        <v>75</v>
      </c>
      <c r="V10" s="21">
        <v>26</v>
      </c>
      <c r="W10" s="4" t="s">
        <v>245</v>
      </c>
      <c r="X10" s="2"/>
    </row>
    <row r="11" spans="1:24" ht="12.75" x14ac:dyDescent="0.2">
      <c r="A11" s="17" t="s">
        <v>8</v>
      </c>
      <c r="B11" s="17" t="s">
        <v>92</v>
      </c>
      <c r="C11" s="9" t="s">
        <v>214</v>
      </c>
      <c r="D11" s="17" t="s">
        <v>171</v>
      </c>
      <c r="E11" s="17" t="s">
        <v>189</v>
      </c>
      <c r="F11" s="18">
        <v>17.605669703299998</v>
      </c>
      <c r="G11" s="17" t="s">
        <v>270</v>
      </c>
      <c r="H11" s="25" t="s">
        <v>205</v>
      </c>
      <c r="I11" s="9" t="s">
        <v>239</v>
      </c>
      <c r="J11" s="17"/>
      <c r="K11" s="17"/>
      <c r="L11" s="17"/>
      <c r="M11" s="9" t="s">
        <v>239</v>
      </c>
      <c r="N11" s="17"/>
      <c r="O11" s="8" t="s">
        <v>240</v>
      </c>
      <c r="P11" s="24">
        <v>9</v>
      </c>
      <c r="Q11" s="19">
        <v>6</v>
      </c>
      <c r="R11" s="8">
        <v>1</v>
      </c>
      <c r="S11" s="8">
        <v>3</v>
      </c>
      <c r="T11" s="20">
        <v>10</v>
      </c>
      <c r="U11" s="21">
        <v>29</v>
      </c>
      <c r="V11" s="21">
        <v>5</v>
      </c>
      <c r="W11" s="4" t="s">
        <v>244</v>
      </c>
      <c r="X11" s="2"/>
    </row>
    <row r="12" spans="1:24" ht="12.75" x14ac:dyDescent="0.2">
      <c r="A12" s="17" t="s">
        <v>9</v>
      </c>
      <c r="B12" s="17" t="s">
        <v>93</v>
      </c>
      <c r="C12" s="9" t="s">
        <v>216</v>
      </c>
      <c r="D12" s="17" t="s">
        <v>171</v>
      </c>
      <c r="E12" s="17" t="s">
        <v>189</v>
      </c>
      <c r="F12" s="18">
        <v>5.16850773094</v>
      </c>
      <c r="G12" s="17" t="s">
        <v>270</v>
      </c>
      <c r="H12" s="25" t="s">
        <v>205</v>
      </c>
      <c r="I12" s="9" t="s">
        <v>239</v>
      </c>
      <c r="J12" s="17"/>
      <c r="K12" s="17"/>
      <c r="L12" s="17"/>
      <c r="M12" s="9" t="s">
        <v>239</v>
      </c>
      <c r="N12" s="17"/>
      <c r="O12" s="8" t="s">
        <v>240</v>
      </c>
      <c r="P12" s="24">
        <v>9</v>
      </c>
      <c r="Q12" s="19">
        <v>6</v>
      </c>
      <c r="R12" s="8">
        <v>1</v>
      </c>
      <c r="S12" s="8">
        <v>3</v>
      </c>
      <c r="T12" s="20">
        <v>10</v>
      </c>
      <c r="U12" s="21">
        <v>29</v>
      </c>
      <c r="V12" s="21">
        <v>5</v>
      </c>
      <c r="W12" s="4" t="s">
        <v>243</v>
      </c>
      <c r="X12" s="2"/>
    </row>
    <row r="13" spans="1:24" ht="12.75" x14ac:dyDescent="0.2">
      <c r="A13" s="17" t="s">
        <v>10</v>
      </c>
      <c r="B13" s="17" t="s">
        <v>94</v>
      </c>
      <c r="C13" s="9" t="s">
        <v>216</v>
      </c>
      <c r="D13" s="17" t="s">
        <v>171</v>
      </c>
      <c r="E13" s="17" t="s">
        <v>189</v>
      </c>
      <c r="F13" s="18">
        <v>3.7940871996199999</v>
      </c>
      <c r="G13" s="17" t="s">
        <v>270</v>
      </c>
      <c r="H13" s="25" t="s">
        <v>205</v>
      </c>
      <c r="I13" s="9" t="s">
        <v>239</v>
      </c>
      <c r="J13" s="17"/>
      <c r="K13" s="17"/>
      <c r="L13" s="17"/>
      <c r="M13" s="9" t="s">
        <v>239</v>
      </c>
      <c r="N13" s="17"/>
      <c r="O13" s="8" t="s">
        <v>240</v>
      </c>
      <c r="P13" s="24">
        <v>2</v>
      </c>
      <c r="Q13" s="19">
        <v>3</v>
      </c>
      <c r="R13" s="8">
        <v>1</v>
      </c>
      <c r="S13" s="8">
        <v>3</v>
      </c>
      <c r="T13" s="20">
        <v>7</v>
      </c>
      <c r="U13" s="21">
        <v>61</v>
      </c>
      <c r="V13" s="21">
        <v>22</v>
      </c>
      <c r="W13" s="4" t="s">
        <v>244</v>
      </c>
      <c r="X13" s="2"/>
    </row>
    <row r="14" spans="1:24" ht="12.75" x14ac:dyDescent="0.2">
      <c r="A14" s="17" t="s">
        <v>11</v>
      </c>
      <c r="B14" s="17" t="s">
        <v>95</v>
      </c>
      <c r="C14" s="9" t="s">
        <v>216</v>
      </c>
      <c r="D14" s="17" t="s">
        <v>171</v>
      </c>
      <c r="E14" s="17" t="s">
        <v>189</v>
      </c>
      <c r="F14" s="18">
        <v>11.507999574699999</v>
      </c>
      <c r="G14" s="17" t="s">
        <v>270</v>
      </c>
      <c r="H14" s="25" t="s">
        <v>205</v>
      </c>
      <c r="I14" s="9" t="s">
        <v>239</v>
      </c>
      <c r="J14" s="9" t="s">
        <v>239</v>
      </c>
      <c r="K14" s="17"/>
      <c r="L14" s="17"/>
      <c r="M14" s="9" t="s">
        <v>239</v>
      </c>
      <c r="N14" s="17"/>
      <c r="O14" s="8" t="s">
        <v>240</v>
      </c>
      <c r="P14" s="24">
        <v>12</v>
      </c>
      <c r="Q14" s="19">
        <v>7</v>
      </c>
      <c r="R14" s="8">
        <v>5</v>
      </c>
      <c r="S14" s="8">
        <v>3</v>
      </c>
      <c r="T14" s="20">
        <v>15</v>
      </c>
      <c r="U14" s="21">
        <v>2</v>
      </c>
      <c r="V14" s="21">
        <v>1</v>
      </c>
      <c r="W14" s="4" t="s">
        <v>243</v>
      </c>
      <c r="X14" s="2"/>
    </row>
    <row r="15" spans="1:24" ht="12.75" x14ac:dyDescent="0.2">
      <c r="A15" s="17" t="s">
        <v>12</v>
      </c>
      <c r="B15" s="17" t="s">
        <v>96</v>
      </c>
      <c r="C15" s="9" t="s">
        <v>216</v>
      </c>
      <c r="D15" s="17" t="s">
        <v>171</v>
      </c>
      <c r="E15" s="17" t="s">
        <v>189</v>
      </c>
      <c r="F15" s="18">
        <v>11.224544677899999</v>
      </c>
      <c r="G15" s="17" t="s">
        <v>270</v>
      </c>
      <c r="H15" s="25" t="s">
        <v>205</v>
      </c>
      <c r="I15" s="17"/>
      <c r="J15" s="17"/>
      <c r="K15" s="17"/>
      <c r="L15" s="17"/>
      <c r="M15" s="9" t="s">
        <v>239</v>
      </c>
      <c r="N15" s="17"/>
      <c r="O15" s="8" t="s">
        <v>240</v>
      </c>
      <c r="P15" s="24">
        <v>3</v>
      </c>
      <c r="Q15" s="19">
        <v>3</v>
      </c>
      <c r="R15" s="8">
        <v>1</v>
      </c>
      <c r="S15" s="8">
        <v>0</v>
      </c>
      <c r="T15" s="20">
        <v>4</v>
      </c>
      <c r="U15" s="21">
        <v>93</v>
      </c>
      <c r="V15" s="21">
        <v>28</v>
      </c>
      <c r="W15" s="4" t="s">
        <v>245</v>
      </c>
      <c r="X15" s="2"/>
    </row>
    <row r="16" spans="1:24" ht="12.75" x14ac:dyDescent="0.2">
      <c r="A16" s="17" t="s">
        <v>13</v>
      </c>
      <c r="B16" s="17" t="s">
        <v>97</v>
      </c>
      <c r="C16" s="9" t="s">
        <v>216</v>
      </c>
      <c r="D16" s="17" t="s">
        <v>171</v>
      </c>
      <c r="E16" s="17" t="s">
        <v>189</v>
      </c>
      <c r="F16" s="18">
        <v>31.881175492099999</v>
      </c>
      <c r="G16" s="17" t="s">
        <v>270</v>
      </c>
      <c r="H16" s="25" t="s">
        <v>205</v>
      </c>
      <c r="I16" s="9" t="s">
        <v>239</v>
      </c>
      <c r="J16" s="17"/>
      <c r="K16" s="17"/>
      <c r="L16" s="17"/>
      <c r="M16" s="9" t="s">
        <v>239</v>
      </c>
      <c r="N16" s="17"/>
      <c r="O16" s="8" t="s">
        <v>240</v>
      </c>
      <c r="P16" s="24">
        <v>5</v>
      </c>
      <c r="Q16" s="19">
        <v>4</v>
      </c>
      <c r="R16" s="8">
        <v>1</v>
      </c>
      <c r="S16" s="8">
        <v>0</v>
      </c>
      <c r="T16" s="20">
        <v>5</v>
      </c>
      <c r="U16" s="21">
        <v>71</v>
      </c>
      <c r="V16" s="21">
        <v>23</v>
      </c>
      <c r="W16" s="4" t="s">
        <v>243</v>
      </c>
      <c r="X16" s="2"/>
    </row>
    <row r="17" spans="1:24" ht="12.75" x14ac:dyDescent="0.2">
      <c r="A17" s="17" t="s">
        <v>14</v>
      </c>
      <c r="B17" s="17" t="s">
        <v>98</v>
      </c>
      <c r="C17" s="9" t="s">
        <v>215</v>
      </c>
      <c r="D17" s="17" t="s">
        <v>171</v>
      </c>
      <c r="E17" s="17" t="s">
        <v>189</v>
      </c>
      <c r="F17" s="18">
        <v>12.125575717</v>
      </c>
      <c r="G17" s="17" t="s">
        <v>270</v>
      </c>
      <c r="H17" s="25" t="s">
        <v>205</v>
      </c>
      <c r="I17" s="9" t="s">
        <v>239</v>
      </c>
      <c r="J17" s="17"/>
      <c r="K17" s="17"/>
      <c r="L17" s="17"/>
      <c r="M17" s="9" t="s">
        <v>239</v>
      </c>
      <c r="N17" s="17"/>
      <c r="O17" s="8" t="s">
        <v>240</v>
      </c>
      <c r="P17" s="24">
        <v>5</v>
      </c>
      <c r="Q17" s="19">
        <v>4</v>
      </c>
      <c r="R17" s="8">
        <v>1</v>
      </c>
      <c r="S17" s="8">
        <v>0</v>
      </c>
      <c r="T17" s="20">
        <v>5</v>
      </c>
      <c r="U17" s="21">
        <v>71</v>
      </c>
      <c r="V17" s="21">
        <v>23</v>
      </c>
      <c r="W17" s="4" t="s">
        <v>243</v>
      </c>
      <c r="X17" s="2"/>
    </row>
    <row r="18" spans="1:24" ht="12.75" x14ac:dyDescent="0.2">
      <c r="A18" s="17" t="s">
        <v>15</v>
      </c>
      <c r="B18" s="17" t="s">
        <v>99</v>
      </c>
      <c r="C18" s="9" t="s">
        <v>215</v>
      </c>
      <c r="D18" s="17" t="s">
        <v>171</v>
      </c>
      <c r="E18" s="17" t="s">
        <v>189</v>
      </c>
      <c r="F18" s="18">
        <v>6.8870509992400004</v>
      </c>
      <c r="G18" s="17" t="s">
        <v>270</v>
      </c>
      <c r="H18" s="25" t="s">
        <v>205</v>
      </c>
      <c r="I18" s="9" t="s">
        <v>239</v>
      </c>
      <c r="J18" s="17"/>
      <c r="K18" s="17"/>
      <c r="L18" s="17"/>
      <c r="M18" s="9" t="s">
        <v>239</v>
      </c>
      <c r="N18" s="17"/>
      <c r="O18" s="8" t="s">
        <v>240</v>
      </c>
      <c r="P18" s="24">
        <v>8</v>
      </c>
      <c r="Q18" s="19">
        <v>5</v>
      </c>
      <c r="R18" s="8">
        <v>1</v>
      </c>
      <c r="S18" s="8">
        <v>3</v>
      </c>
      <c r="T18" s="20">
        <v>9</v>
      </c>
      <c r="U18" s="21">
        <v>40</v>
      </c>
      <c r="V18" s="21">
        <v>10</v>
      </c>
      <c r="W18" s="4" t="s">
        <v>245</v>
      </c>
      <c r="X18" s="2"/>
    </row>
    <row r="19" spans="1:24" ht="12.75" x14ac:dyDescent="0.2">
      <c r="A19" s="17" t="s">
        <v>16</v>
      </c>
      <c r="B19" s="17" t="s">
        <v>100</v>
      </c>
      <c r="C19" s="9" t="s">
        <v>215</v>
      </c>
      <c r="D19" s="17" t="s">
        <v>171</v>
      </c>
      <c r="E19" s="17" t="s">
        <v>189</v>
      </c>
      <c r="F19" s="18">
        <v>7.9792921734300002</v>
      </c>
      <c r="G19" s="17" t="s">
        <v>270</v>
      </c>
      <c r="H19" s="25" t="s">
        <v>205</v>
      </c>
      <c r="I19" s="9" t="s">
        <v>239</v>
      </c>
      <c r="J19" s="9" t="s">
        <v>239</v>
      </c>
      <c r="K19" s="17"/>
      <c r="L19" s="17"/>
      <c r="M19" s="9" t="s">
        <v>239</v>
      </c>
      <c r="N19" s="17"/>
      <c r="O19" s="8" t="s">
        <v>240</v>
      </c>
      <c r="P19" s="24">
        <v>7</v>
      </c>
      <c r="Q19" s="19">
        <v>5</v>
      </c>
      <c r="R19" s="8">
        <v>1</v>
      </c>
      <c r="S19" s="8">
        <v>3</v>
      </c>
      <c r="T19" s="20">
        <v>9</v>
      </c>
      <c r="U19" s="21">
        <v>44</v>
      </c>
      <c r="V19" s="21">
        <v>11</v>
      </c>
      <c r="W19" s="4" t="s">
        <v>245</v>
      </c>
      <c r="X19" s="2"/>
    </row>
    <row r="20" spans="1:24" ht="12.75" x14ac:dyDescent="0.2">
      <c r="A20" s="17" t="s">
        <v>17</v>
      </c>
      <c r="B20" s="17" t="s">
        <v>101</v>
      </c>
      <c r="C20" s="9" t="s">
        <v>215</v>
      </c>
      <c r="D20" s="17" t="s">
        <v>171</v>
      </c>
      <c r="E20" s="17" t="s">
        <v>189</v>
      </c>
      <c r="F20" s="18">
        <v>15.1152973235</v>
      </c>
      <c r="G20" s="17" t="s">
        <v>270</v>
      </c>
      <c r="H20" s="25" t="s">
        <v>205</v>
      </c>
      <c r="I20" s="9" t="s">
        <v>239</v>
      </c>
      <c r="J20" s="17"/>
      <c r="K20" s="17"/>
      <c r="L20" s="17"/>
      <c r="M20" s="9" t="s">
        <v>239</v>
      </c>
      <c r="N20" s="17"/>
      <c r="O20" s="8" t="s">
        <v>240</v>
      </c>
      <c r="P20" s="24">
        <v>4</v>
      </c>
      <c r="Q20" s="19">
        <v>4</v>
      </c>
      <c r="R20" s="8">
        <v>0</v>
      </c>
      <c r="S20" s="8">
        <v>0</v>
      </c>
      <c r="T20" s="20">
        <v>4</v>
      </c>
      <c r="U20" s="21">
        <v>91</v>
      </c>
      <c r="V20" s="21">
        <v>27</v>
      </c>
      <c r="W20" s="4" t="s">
        <v>243</v>
      </c>
      <c r="X20" s="2"/>
    </row>
    <row r="21" spans="1:24" ht="12.75" x14ac:dyDescent="0.2">
      <c r="A21" s="17" t="s">
        <v>18</v>
      </c>
      <c r="B21" s="17" t="s">
        <v>102</v>
      </c>
      <c r="C21" s="9" t="s">
        <v>217</v>
      </c>
      <c r="D21" s="17" t="s">
        <v>172</v>
      </c>
      <c r="E21" s="17" t="s">
        <v>189</v>
      </c>
      <c r="F21" s="18">
        <v>8.2153315246900007</v>
      </c>
      <c r="G21" s="17" t="s">
        <v>270</v>
      </c>
      <c r="H21" s="17" t="s">
        <v>246</v>
      </c>
      <c r="I21" s="17"/>
      <c r="J21" s="17"/>
      <c r="K21" s="17"/>
      <c r="L21" s="17"/>
      <c r="M21" s="17"/>
      <c r="N21" s="17"/>
      <c r="O21" s="8" t="s">
        <v>241</v>
      </c>
      <c r="P21" s="24">
        <v>3</v>
      </c>
      <c r="Q21" s="19">
        <v>3</v>
      </c>
      <c r="R21" s="8">
        <v>1</v>
      </c>
      <c r="S21" s="8">
        <v>0</v>
      </c>
      <c r="T21" s="20">
        <v>4</v>
      </c>
      <c r="U21" s="21">
        <v>93</v>
      </c>
      <c r="V21" s="21">
        <v>28</v>
      </c>
      <c r="W21" s="4" t="s">
        <v>244</v>
      </c>
      <c r="X21" s="2"/>
    </row>
    <row r="22" spans="1:24" ht="12.75" x14ac:dyDescent="0.2">
      <c r="A22" s="17" t="s">
        <v>19</v>
      </c>
      <c r="B22" s="17" t="s">
        <v>103</v>
      </c>
      <c r="C22" s="9" t="s">
        <v>217</v>
      </c>
      <c r="D22" s="17" t="s">
        <v>172</v>
      </c>
      <c r="E22" s="17" t="s">
        <v>189</v>
      </c>
      <c r="F22" s="18">
        <v>4.3245396191100003</v>
      </c>
      <c r="G22" s="17" t="s">
        <v>270</v>
      </c>
      <c r="H22" s="25" t="s">
        <v>205</v>
      </c>
      <c r="I22" s="9" t="s">
        <v>239</v>
      </c>
      <c r="J22" s="9" t="s">
        <v>239</v>
      </c>
      <c r="K22" s="17"/>
      <c r="L22" s="17"/>
      <c r="M22" s="9" t="s">
        <v>239</v>
      </c>
      <c r="N22" s="17"/>
      <c r="O22" s="8" t="s">
        <v>240</v>
      </c>
      <c r="P22" s="24">
        <v>9</v>
      </c>
      <c r="Q22" s="19">
        <v>6</v>
      </c>
      <c r="R22" s="8">
        <v>5</v>
      </c>
      <c r="S22" s="8">
        <v>3</v>
      </c>
      <c r="T22" s="20">
        <v>14</v>
      </c>
      <c r="U22" s="21">
        <v>9</v>
      </c>
      <c r="V22" s="21">
        <v>2</v>
      </c>
      <c r="W22" s="4" t="s">
        <v>243</v>
      </c>
      <c r="X22" s="2"/>
    </row>
    <row r="23" spans="1:24" ht="12.75" x14ac:dyDescent="0.2">
      <c r="A23" s="17" t="s">
        <v>20</v>
      </c>
      <c r="B23" s="17" t="s">
        <v>104</v>
      </c>
      <c r="C23" s="9" t="s">
        <v>218</v>
      </c>
      <c r="D23" s="17" t="s">
        <v>172</v>
      </c>
      <c r="E23" s="17" t="s">
        <v>189</v>
      </c>
      <c r="F23" s="18">
        <v>12.5095019196</v>
      </c>
      <c r="G23" s="17" t="s">
        <v>270</v>
      </c>
      <c r="H23" s="25" t="s">
        <v>205</v>
      </c>
      <c r="I23" s="17"/>
      <c r="J23" s="9" t="s">
        <v>239</v>
      </c>
      <c r="K23" s="17"/>
      <c r="L23" s="17"/>
      <c r="M23" s="17"/>
      <c r="N23" s="17"/>
      <c r="O23" s="8" t="s">
        <v>240</v>
      </c>
      <c r="P23" s="24">
        <v>3</v>
      </c>
      <c r="Q23" s="19">
        <v>3</v>
      </c>
      <c r="R23" s="8">
        <v>1</v>
      </c>
      <c r="S23" s="8">
        <v>1</v>
      </c>
      <c r="T23" s="20">
        <v>5</v>
      </c>
      <c r="U23" s="21">
        <v>73</v>
      </c>
      <c r="V23" s="21">
        <v>25</v>
      </c>
      <c r="W23" s="4" t="s">
        <v>245</v>
      </c>
      <c r="X23" s="2"/>
    </row>
    <row r="24" spans="1:24" ht="12.75" x14ac:dyDescent="0.2">
      <c r="A24" s="17" t="s">
        <v>21</v>
      </c>
      <c r="B24" s="17" t="s">
        <v>105</v>
      </c>
      <c r="C24" s="9" t="s">
        <v>218</v>
      </c>
      <c r="D24" s="17" t="s">
        <v>172</v>
      </c>
      <c r="E24" s="17" t="s">
        <v>189</v>
      </c>
      <c r="F24" s="18">
        <v>5.6992224907999995</v>
      </c>
      <c r="G24" s="17" t="s">
        <v>270</v>
      </c>
      <c r="H24" s="25" t="s">
        <v>205</v>
      </c>
      <c r="I24" s="9" t="s">
        <v>239</v>
      </c>
      <c r="J24" s="9" t="s">
        <v>239</v>
      </c>
      <c r="K24" s="17"/>
      <c r="L24" s="17"/>
      <c r="M24" s="9" t="s">
        <v>239</v>
      </c>
      <c r="N24" s="17"/>
      <c r="O24" s="8" t="s">
        <v>240</v>
      </c>
      <c r="P24" s="24">
        <v>5</v>
      </c>
      <c r="Q24" s="19">
        <v>4</v>
      </c>
      <c r="R24" s="8">
        <v>1</v>
      </c>
      <c r="S24" s="8">
        <v>3</v>
      </c>
      <c r="T24" s="20">
        <v>8</v>
      </c>
      <c r="U24" s="21">
        <v>51</v>
      </c>
      <c r="V24" s="21">
        <v>15</v>
      </c>
      <c r="W24" s="4" t="s">
        <v>244</v>
      </c>
      <c r="X24" s="2"/>
    </row>
    <row r="25" spans="1:24" ht="12.75" x14ac:dyDescent="0.2">
      <c r="A25" s="17" t="s">
        <v>22</v>
      </c>
      <c r="B25" s="17" t="s">
        <v>106</v>
      </c>
      <c r="C25" s="9" t="s">
        <v>218</v>
      </c>
      <c r="D25" s="17" t="s">
        <v>172</v>
      </c>
      <c r="E25" s="17" t="s">
        <v>189</v>
      </c>
      <c r="F25" s="18">
        <v>22.975153839300003</v>
      </c>
      <c r="G25" s="17" t="s">
        <v>270</v>
      </c>
      <c r="H25" s="25" t="s">
        <v>205</v>
      </c>
      <c r="I25" s="17"/>
      <c r="J25" s="17"/>
      <c r="K25" s="17"/>
      <c r="L25" s="17"/>
      <c r="M25" s="9" t="s">
        <v>239</v>
      </c>
      <c r="N25" s="17"/>
      <c r="O25" s="8" t="s">
        <v>240</v>
      </c>
      <c r="P25" s="24">
        <v>3</v>
      </c>
      <c r="Q25" s="19">
        <v>3</v>
      </c>
      <c r="R25" s="8">
        <v>1</v>
      </c>
      <c r="S25" s="8">
        <v>3</v>
      </c>
      <c r="T25" s="20">
        <v>7</v>
      </c>
      <c r="U25" s="21">
        <v>59</v>
      </c>
      <c r="V25" s="21">
        <v>20</v>
      </c>
      <c r="W25" s="4" t="s">
        <v>243</v>
      </c>
      <c r="X25" s="2"/>
    </row>
    <row r="26" spans="1:24" ht="12.75" x14ac:dyDescent="0.2">
      <c r="A26" s="17" t="s">
        <v>23</v>
      </c>
      <c r="B26" s="17" t="s">
        <v>107</v>
      </c>
      <c r="C26" s="9" t="s">
        <v>218</v>
      </c>
      <c r="D26" s="17" t="s">
        <v>172</v>
      </c>
      <c r="E26" s="17" t="s">
        <v>189</v>
      </c>
      <c r="F26" s="18">
        <v>6.2140815724499996</v>
      </c>
      <c r="G26" s="17" t="s">
        <v>270</v>
      </c>
      <c r="H26" s="25" t="s">
        <v>205</v>
      </c>
      <c r="I26" s="9" t="s">
        <v>239</v>
      </c>
      <c r="J26" s="9" t="s">
        <v>239</v>
      </c>
      <c r="K26" s="17"/>
      <c r="L26" s="17"/>
      <c r="M26" s="9" t="s">
        <v>239</v>
      </c>
      <c r="N26" s="17"/>
      <c r="O26" s="8" t="s">
        <v>240</v>
      </c>
      <c r="P26" s="24">
        <v>5</v>
      </c>
      <c r="Q26" s="19">
        <v>4</v>
      </c>
      <c r="R26" s="8">
        <v>1</v>
      </c>
      <c r="S26" s="8">
        <v>3</v>
      </c>
      <c r="T26" s="20">
        <v>8</v>
      </c>
      <c r="U26" s="21">
        <v>51</v>
      </c>
      <c r="V26" s="21">
        <v>15</v>
      </c>
      <c r="W26" s="4" t="s">
        <v>244</v>
      </c>
      <c r="X26" s="2"/>
    </row>
    <row r="27" spans="1:24" ht="12.75" x14ac:dyDescent="0.2">
      <c r="A27" s="17" t="s">
        <v>24</v>
      </c>
      <c r="B27" s="17" t="s">
        <v>108</v>
      </c>
      <c r="C27" s="9" t="s">
        <v>218</v>
      </c>
      <c r="D27" s="17" t="s">
        <v>172</v>
      </c>
      <c r="E27" s="17" t="s">
        <v>189</v>
      </c>
      <c r="F27" s="18">
        <v>13</v>
      </c>
      <c r="G27" s="17" t="s">
        <v>270</v>
      </c>
      <c r="H27" s="25" t="s">
        <v>205</v>
      </c>
      <c r="I27" s="17" t="s">
        <v>239</v>
      </c>
      <c r="J27" s="17" t="s">
        <v>239</v>
      </c>
      <c r="K27" s="17"/>
      <c r="L27" s="17"/>
      <c r="M27" s="17" t="s">
        <v>239</v>
      </c>
      <c r="N27" s="17"/>
      <c r="O27" s="8" t="s">
        <v>240</v>
      </c>
      <c r="P27" s="24">
        <v>6</v>
      </c>
      <c r="Q27" s="19">
        <v>4</v>
      </c>
      <c r="R27" s="8">
        <v>1</v>
      </c>
      <c r="S27" s="8">
        <v>3</v>
      </c>
      <c r="T27" s="20">
        <v>8</v>
      </c>
      <c r="U27" s="21">
        <v>49</v>
      </c>
      <c r="V27" s="21">
        <v>14</v>
      </c>
      <c r="W27" s="4" t="s">
        <v>244</v>
      </c>
      <c r="X27" s="2"/>
    </row>
    <row r="28" spans="1:24" ht="12.75" x14ac:dyDescent="0.2">
      <c r="A28" s="17" t="s">
        <v>25</v>
      </c>
      <c r="B28" s="17" t="s">
        <v>109</v>
      </c>
      <c r="C28" s="9" t="s">
        <v>218</v>
      </c>
      <c r="D28" s="17" t="s">
        <v>172</v>
      </c>
      <c r="E28" s="17" t="s">
        <v>189</v>
      </c>
      <c r="F28" s="18">
        <v>7.9949507543899996</v>
      </c>
      <c r="G28" s="17" t="s">
        <v>270</v>
      </c>
      <c r="H28" s="25" t="s">
        <v>205</v>
      </c>
      <c r="I28" s="17" t="s">
        <v>239</v>
      </c>
      <c r="J28" s="17" t="s">
        <v>239</v>
      </c>
      <c r="K28" s="17"/>
      <c r="L28" s="17"/>
      <c r="M28" s="17" t="s">
        <v>239</v>
      </c>
      <c r="N28" s="17"/>
      <c r="O28" s="8" t="s">
        <v>240</v>
      </c>
      <c r="P28" s="24">
        <v>4</v>
      </c>
      <c r="Q28" s="19">
        <v>4</v>
      </c>
      <c r="R28" s="8">
        <v>1</v>
      </c>
      <c r="S28" s="8">
        <v>3</v>
      </c>
      <c r="T28" s="20">
        <v>8</v>
      </c>
      <c r="U28" s="21">
        <v>53</v>
      </c>
      <c r="V28" s="21">
        <v>17</v>
      </c>
      <c r="W28" s="4" t="s">
        <v>245</v>
      </c>
      <c r="X28" s="2"/>
    </row>
    <row r="29" spans="1:24" ht="12.75" x14ac:dyDescent="0.2">
      <c r="A29" s="17" t="s">
        <v>26</v>
      </c>
      <c r="B29" s="17" t="s">
        <v>110</v>
      </c>
      <c r="C29" s="9" t="s">
        <v>218</v>
      </c>
      <c r="D29" s="17" t="s">
        <v>172</v>
      </c>
      <c r="E29" s="17" t="s">
        <v>189</v>
      </c>
      <c r="F29" s="18">
        <v>14.7440698029</v>
      </c>
      <c r="G29" s="17" t="s">
        <v>270</v>
      </c>
      <c r="H29" s="25" t="s">
        <v>205</v>
      </c>
      <c r="I29" s="17"/>
      <c r="J29" s="17" t="s">
        <v>239</v>
      </c>
      <c r="K29" s="17"/>
      <c r="L29" s="17"/>
      <c r="M29" s="17" t="s">
        <v>239</v>
      </c>
      <c r="N29" s="17"/>
      <c r="O29" s="8" t="s">
        <v>240</v>
      </c>
      <c r="P29" s="24">
        <v>5</v>
      </c>
      <c r="Q29" s="19">
        <v>4</v>
      </c>
      <c r="R29" s="8">
        <v>5</v>
      </c>
      <c r="S29" s="8">
        <v>3</v>
      </c>
      <c r="T29" s="20">
        <v>12</v>
      </c>
      <c r="U29" s="21">
        <v>23</v>
      </c>
      <c r="V29" s="21">
        <v>4</v>
      </c>
      <c r="W29" s="4" t="s">
        <v>243</v>
      </c>
      <c r="X29" s="2"/>
    </row>
    <row r="30" spans="1:24" ht="12.75" x14ac:dyDescent="0.2">
      <c r="A30" s="3" t="s">
        <v>250</v>
      </c>
      <c r="B30" s="3" t="s">
        <v>254</v>
      </c>
      <c r="C30" s="5" t="s">
        <v>251</v>
      </c>
      <c r="D30" s="3" t="s">
        <v>173</v>
      </c>
      <c r="E30" s="17" t="s">
        <v>189</v>
      </c>
      <c r="F30" s="6">
        <v>2.2000000000000002</v>
      </c>
      <c r="G30" s="17" t="s">
        <v>270</v>
      </c>
      <c r="H30" s="17" t="s">
        <v>205</v>
      </c>
      <c r="I30" s="17"/>
      <c r="J30" s="17"/>
      <c r="K30" s="17"/>
      <c r="L30" s="17"/>
      <c r="M30" s="17"/>
      <c r="N30" s="17" t="s">
        <v>239</v>
      </c>
      <c r="O30" s="8" t="s">
        <v>240</v>
      </c>
      <c r="P30" s="24">
        <v>2</v>
      </c>
      <c r="Q30" s="19">
        <v>3</v>
      </c>
      <c r="R30" s="8">
        <v>1</v>
      </c>
      <c r="S30" s="8">
        <v>3</v>
      </c>
      <c r="T30" s="20">
        <v>7</v>
      </c>
      <c r="U30" s="21">
        <v>61</v>
      </c>
      <c r="V30" s="21">
        <v>22</v>
      </c>
      <c r="W30" s="4" t="s">
        <v>245</v>
      </c>
      <c r="X30" s="2"/>
    </row>
    <row r="31" spans="1:24" ht="12.75" x14ac:dyDescent="0.2">
      <c r="A31" s="2" t="s">
        <v>199</v>
      </c>
      <c r="B31" s="2" t="s">
        <v>198</v>
      </c>
      <c r="C31" s="2" t="s">
        <v>251</v>
      </c>
      <c r="D31" s="2" t="s">
        <v>173</v>
      </c>
      <c r="E31" s="17" t="s">
        <v>189</v>
      </c>
      <c r="F31" s="2">
        <v>9.8000000000000007</v>
      </c>
      <c r="G31" s="17" t="s">
        <v>270</v>
      </c>
      <c r="H31" s="25" t="s">
        <v>205</v>
      </c>
      <c r="I31" s="17"/>
      <c r="J31" s="17"/>
      <c r="K31" s="17" t="s">
        <v>239</v>
      </c>
      <c r="L31" s="17"/>
      <c r="M31" s="17"/>
      <c r="N31" s="17"/>
      <c r="O31" s="8" t="s">
        <v>240</v>
      </c>
      <c r="P31" s="24">
        <v>4</v>
      </c>
      <c r="Q31" s="19">
        <v>4</v>
      </c>
      <c r="R31" s="8">
        <v>0</v>
      </c>
      <c r="S31" s="8">
        <v>3</v>
      </c>
      <c r="T31" s="20">
        <v>7</v>
      </c>
      <c r="U31" s="21">
        <v>57</v>
      </c>
      <c r="V31" s="21">
        <v>19</v>
      </c>
      <c r="W31" s="4" t="s">
        <v>243</v>
      </c>
      <c r="X31" s="2"/>
    </row>
    <row r="32" spans="1:24" ht="12.75" x14ac:dyDescent="0.2">
      <c r="A32" s="17" t="s">
        <v>27</v>
      </c>
      <c r="B32" s="17" t="s">
        <v>111</v>
      </c>
      <c r="C32" s="9" t="s">
        <v>213</v>
      </c>
      <c r="D32" s="17" t="s">
        <v>173</v>
      </c>
      <c r="E32" s="17" t="s">
        <v>189</v>
      </c>
      <c r="F32" s="18">
        <v>16.284596539300001</v>
      </c>
      <c r="G32" s="17" t="s">
        <v>270</v>
      </c>
      <c r="H32" s="17" t="s">
        <v>246</v>
      </c>
      <c r="I32" s="17"/>
      <c r="J32" s="17"/>
      <c r="K32" s="17"/>
      <c r="L32" s="17"/>
      <c r="M32" s="17"/>
      <c r="N32" s="17"/>
      <c r="O32" s="8" t="s">
        <v>241</v>
      </c>
      <c r="P32" s="24">
        <v>3</v>
      </c>
      <c r="Q32" s="19">
        <v>3</v>
      </c>
      <c r="R32" s="8">
        <v>1</v>
      </c>
      <c r="S32" s="8">
        <v>3</v>
      </c>
      <c r="T32" s="20">
        <v>7</v>
      </c>
      <c r="U32" s="21">
        <v>59</v>
      </c>
      <c r="V32" s="21">
        <v>20</v>
      </c>
      <c r="W32" s="4" t="s">
        <v>245</v>
      </c>
      <c r="X32" s="2"/>
    </row>
    <row r="33" spans="1:24" ht="12.75" x14ac:dyDescent="0.2">
      <c r="A33" s="17" t="s">
        <v>28</v>
      </c>
      <c r="B33" s="17" t="s">
        <v>112</v>
      </c>
      <c r="C33" s="9" t="s">
        <v>213</v>
      </c>
      <c r="D33" s="17" t="s">
        <v>173</v>
      </c>
      <c r="E33" s="17" t="s">
        <v>189</v>
      </c>
      <c r="F33" s="18">
        <v>9.0709031106799998</v>
      </c>
      <c r="G33" s="17" t="s">
        <v>270</v>
      </c>
      <c r="H33" s="25" t="s">
        <v>205</v>
      </c>
      <c r="I33" s="17" t="s">
        <v>239</v>
      </c>
      <c r="J33" s="17" t="s">
        <v>239</v>
      </c>
      <c r="K33" s="17"/>
      <c r="L33" s="17"/>
      <c r="M33" s="17"/>
      <c r="N33" s="17"/>
      <c r="O33" s="8" t="s">
        <v>240</v>
      </c>
      <c r="P33" s="24">
        <v>5</v>
      </c>
      <c r="Q33" s="19">
        <v>4</v>
      </c>
      <c r="R33" s="8">
        <v>2</v>
      </c>
      <c r="S33" s="8">
        <v>3</v>
      </c>
      <c r="T33" s="20">
        <v>9</v>
      </c>
      <c r="U33" s="21">
        <v>46</v>
      </c>
      <c r="V33" s="21">
        <v>13</v>
      </c>
      <c r="W33" s="4" t="s">
        <v>244</v>
      </c>
      <c r="X33" s="2"/>
    </row>
    <row r="34" spans="1:24" ht="12.75" x14ac:dyDescent="0.2">
      <c r="A34" s="17" t="s">
        <v>29</v>
      </c>
      <c r="B34" s="17" t="s">
        <v>113</v>
      </c>
      <c r="C34" s="9" t="s">
        <v>213</v>
      </c>
      <c r="D34" s="17" t="s">
        <v>173</v>
      </c>
      <c r="E34" s="17" t="s">
        <v>189</v>
      </c>
      <c r="F34" s="18">
        <v>13.7270972033</v>
      </c>
      <c r="G34" s="17" t="s">
        <v>270</v>
      </c>
      <c r="H34" s="25" t="s">
        <v>205</v>
      </c>
      <c r="I34" s="17" t="s">
        <v>239</v>
      </c>
      <c r="J34" s="17" t="s">
        <v>239</v>
      </c>
      <c r="K34" s="17"/>
      <c r="L34" s="17"/>
      <c r="M34" s="17" t="s">
        <v>239</v>
      </c>
      <c r="N34" s="17"/>
      <c r="O34" s="8" t="s">
        <v>240</v>
      </c>
      <c r="P34" s="24">
        <v>8</v>
      </c>
      <c r="Q34" s="19">
        <v>5</v>
      </c>
      <c r="R34" s="8">
        <v>2</v>
      </c>
      <c r="S34" s="8">
        <v>3</v>
      </c>
      <c r="T34" s="20">
        <v>10</v>
      </c>
      <c r="U34" s="21">
        <v>34</v>
      </c>
      <c r="V34" s="21">
        <v>9</v>
      </c>
      <c r="W34" s="4" t="s">
        <v>244</v>
      </c>
      <c r="X34" s="2"/>
    </row>
    <row r="35" spans="1:24" ht="12.75" x14ac:dyDescent="0.2">
      <c r="A35" s="17" t="s">
        <v>30</v>
      </c>
      <c r="B35" s="17" t="s">
        <v>114</v>
      </c>
      <c r="C35" s="9" t="s">
        <v>224</v>
      </c>
      <c r="D35" s="17" t="s">
        <v>174</v>
      </c>
      <c r="E35" s="17" t="s">
        <v>190</v>
      </c>
      <c r="F35" s="18">
        <v>9.637969666670001</v>
      </c>
      <c r="G35" s="17" t="s">
        <v>194</v>
      </c>
      <c r="H35" s="25" t="s">
        <v>205</v>
      </c>
      <c r="I35" s="17" t="s">
        <v>239</v>
      </c>
      <c r="J35" s="17" t="s">
        <v>239</v>
      </c>
      <c r="K35" s="17"/>
      <c r="L35" s="17"/>
      <c r="M35" s="17" t="s">
        <v>239</v>
      </c>
      <c r="N35" s="17"/>
      <c r="O35" s="8" t="s">
        <v>240</v>
      </c>
      <c r="P35" s="24">
        <v>11</v>
      </c>
      <c r="Q35" s="19">
        <v>7</v>
      </c>
      <c r="R35" s="8">
        <v>2</v>
      </c>
      <c r="S35" s="8">
        <v>3</v>
      </c>
      <c r="T35" s="20">
        <v>12</v>
      </c>
      <c r="U35" s="21">
        <v>20</v>
      </c>
      <c r="V35" s="21">
        <v>5</v>
      </c>
      <c r="W35" s="4" t="s">
        <v>244</v>
      </c>
      <c r="X35" s="2"/>
    </row>
    <row r="36" spans="1:24" ht="12.75" x14ac:dyDescent="0.2">
      <c r="A36" s="17" t="s">
        <v>31</v>
      </c>
      <c r="B36" s="17" t="s">
        <v>115</v>
      </c>
      <c r="C36" s="9" t="s">
        <v>227</v>
      </c>
      <c r="D36" s="17" t="s">
        <v>175</v>
      </c>
      <c r="E36" s="17" t="s">
        <v>190</v>
      </c>
      <c r="F36" s="18">
        <v>4.3645659458999999</v>
      </c>
      <c r="G36" s="17" t="s">
        <v>194</v>
      </c>
      <c r="H36" s="25" t="s">
        <v>205</v>
      </c>
      <c r="I36" s="17" t="s">
        <v>239</v>
      </c>
      <c r="J36" s="17" t="s">
        <v>239</v>
      </c>
      <c r="K36" s="17"/>
      <c r="L36" s="17"/>
      <c r="M36" s="17" t="s">
        <v>239</v>
      </c>
      <c r="N36" s="17"/>
      <c r="O36" s="8" t="s">
        <v>240</v>
      </c>
      <c r="P36" s="24">
        <v>10</v>
      </c>
      <c r="Q36" s="19">
        <v>6</v>
      </c>
      <c r="R36" s="8">
        <v>5</v>
      </c>
      <c r="S36" s="8">
        <v>3</v>
      </c>
      <c r="T36" s="20">
        <v>14</v>
      </c>
      <c r="U36" s="21">
        <v>4</v>
      </c>
      <c r="V36" s="21">
        <v>1</v>
      </c>
      <c r="W36" s="4" t="s">
        <v>245</v>
      </c>
      <c r="X36" s="2"/>
    </row>
    <row r="37" spans="1:24" ht="12.75" x14ac:dyDescent="0.2">
      <c r="A37" s="17" t="s">
        <v>32</v>
      </c>
      <c r="B37" s="17" t="s">
        <v>116</v>
      </c>
      <c r="C37" s="9" t="s">
        <v>224</v>
      </c>
      <c r="D37" s="17" t="s">
        <v>174</v>
      </c>
      <c r="E37" s="17" t="s">
        <v>190</v>
      </c>
      <c r="F37" s="18">
        <v>22.800445471499998</v>
      </c>
      <c r="G37" s="17" t="s">
        <v>194</v>
      </c>
      <c r="H37" s="25" t="s">
        <v>205</v>
      </c>
      <c r="I37" s="17" t="s">
        <v>239</v>
      </c>
      <c r="J37" s="17"/>
      <c r="K37" s="17"/>
      <c r="L37" s="17"/>
      <c r="M37" s="17"/>
      <c r="N37" s="17"/>
      <c r="O37" s="8" t="s">
        <v>240</v>
      </c>
      <c r="P37" s="24">
        <v>2</v>
      </c>
      <c r="Q37" s="19">
        <v>3</v>
      </c>
      <c r="R37" s="8">
        <v>0</v>
      </c>
      <c r="S37" s="8">
        <v>0</v>
      </c>
      <c r="T37" s="20">
        <v>3</v>
      </c>
      <c r="U37" s="21">
        <v>98</v>
      </c>
      <c r="V37" s="21">
        <v>21</v>
      </c>
      <c r="W37" s="4" t="s">
        <v>245</v>
      </c>
      <c r="X37" s="2"/>
    </row>
    <row r="38" spans="1:24" ht="12.75" x14ac:dyDescent="0.2">
      <c r="A38" s="17" t="s">
        <v>33</v>
      </c>
      <c r="B38" s="17" t="s">
        <v>117</v>
      </c>
      <c r="C38" s="9" t="s">
        <v>222</v>
      </c>
      <c r="D38" s="17" t="s">
        <v>174</v>
      </c>
      <c r="E38" s="17" t="s">
        <v>190</v>
      </c>
      <c r="F38" s="18">
        <v>19.0439286107</v>
      </c>
      <c r="G38" s="17" t="s">
        <v>194</v>
      </c>
      <c r="H38" s="25" t="s">
        <v>205</v>
      </c>
      <c r="I38" s="17" t="s">
        <v>239</v>
      </c>
      <c r="J38" s="17"/>
      <c r="K38" s="17"/>
      <c r="L38" s="17"/>
      <c r="M38" s="17"/>
      <c r="N38" s="17"/>
      <c r="O38" s="8" t="s">
        <v>240</v>
      </c>
      <c r="P38" s="24">
        <v>2</v>
      </c>
      <c r="Q38" s="19">
        <v>3</v>
      </c>
      <c r="R38" s="8">
        <v>0</v>
      </c>
      <c r="S38" s="8">
        <v>0</v>
      </c>
      <c r="T38" s="20">
        <v>3</v>
      </c>
      <c r="U38" s="21">
        <v>98</v>
      </c>
      <c r="V38" s="21">
        <v>21</v>
      </c>
      <c r="W38" s="4" t="s">
        <v>245</v>
      </c>
      <c r="X38" s="2"/>
    </row>
    <row r="39" spans="1:24" ht="12.75" x14ac:dyDescent="0.2">
      <c r="A39" s="25" t="s">
        <v>274</v>
      </c>
      <c r="B39" s="25" t="s">
        <v>275</v>
      </c>
      <c r="C39" s="25"/>
      <c r="D39" s="25"/>
      <c r="E39" s="26" t="s">
        <v>190</v>
      </c>
      <c r="F39" s="18">
        <v>7.9</v>
      </c>
      <c r="G39" s="25" t="s">
        <v>194</v>
      </c>
      <c r="H39" s="25" t="s">
        <v>205</v>
      </c>
      <c r="I39" s="17" t="s">
        <v>239</v>
      </c>
      <c r="J39" s="25"/>
      <c r="K39" s="25"/>
      <c r="L39" s="25"/>
      <c r="M39" s="25"/>
      <c r="N39" s="25"/>
      <c r="O39" s="8" t="s">
        <v>240</v>
      </c>
      <c r="P39" s="24">
        <v>1</v>
      </c>
      <c r="Q39" s="19">
        <v>3</v>
      </c>
      <c r="R39" s="8">
        <v>0</v>
      </c>
      <c r="S39" s="8">
        <v>0</v>
      </c>
      <c r="T39" s="20">
        <v>3</v>
      </c>
      <c r="U39" s="21">
        <v>100</v>
      </c>
      <c r="V39" s="21">
        <v>23</v>
      </c>
      <c r="W39" s="4" t="s">
        <v>245</v>
      </c>
      <c r="X39" s="2"/>
    </row>
    <row r="40" spans="1:24" ht="12.75" x14ac:dyDescent="0.2">
      <c r="A40" s="17" t="s">
        <v>34</v>
      </c>
      <c r="B40" s="17" t="s">
        <v>118</v>
      </c>
      <c r="C40" s="9" t="s">
        <v>225</v>
      </c>
      <c r="D40" s="17" t="s">
        <v>174</v>
      </c>
      <c r="E40" s="17" t="s">
        <v>190</v>
      </c>
      <c r="F40" s="18">
        <v>12.3924510484</v>
      </c>
      <c r="G40" s="17" t="s">
        <v>194</v>
      </c>
      <c r="H40" s="25" t="s">
        <v>205</v>
      </c>
      <c r="I40" s="17" t="s">
        <v>239</v>
      </c>
      <c r="J40" s="17" t="s">
        <v>239</v>
      </c>
      <c r="K40" s="17"/>
      <c r="L40" s="17"/>
      <c r="M40" s="17" t="s">
        <v>239</v>
      </c>
      <c r="N40" s="17"/>
      <c r="O40" s="8" t="s">
        <v>240</v>
      </c>
      <c r="P40" s="24">
        <v>10</v>
      </c>
      <c r="Q40" s="19">
        <v>6</v>
      </c>
      <c r="R40" s="8">
        <v>5</v>
      </c>
      <c r="S40" s="8">
        <v>3</v>
      </c>
      <c r="T40" s="20">
        <v>14</v>
      </c>
      <c r="U40" s="21">
        <v>4</v>
      </c>
      <c r="V40" s="21">
        <v>1</v>
      </c>
      <c r="W40" s="4" t="s">
        <v>244</v>
      </c>
      <c r="X40" s="2"/>
    </row>
    <row r="41" spans="1:24" ht="12.75" x14ac:dyDescent="0.2">
      <c r="A41" s="17" t="s">
        <v>35</v>
      </c>
      <c r="B41" s="17" t="s">
        <v>119</v>
      </c>
      <c r="C41" s="9" t="s">
        <v>225</v>
      </c>
      <c r="D41" s="17" t="s">
        <v>174</v>
      </c>
      <c r="E41" s="17" t="s">
        <v>190</v>
      </c>
      <c r="F41" s="18">
        <v>7.91372832408</v>
      </c>
      <c r="G41" s="17" t="s">
        <v>194</v>
      </c>
      <c r="H41" s="25" t="s">
        <v>205</v>
      </c>
      <c r="I41" s="17" t="s">
        <v>239</v>
      </c>
      <c r="J41" s="17" t="s">
        <v>239</v>
      </c>
      <c r="K41" s="17"/>
      <c r="L41" s="17"/>
      <c r="M41" s="17" t="s">
        <v>239</v>
      </c>
      <c r="N41" s="17"/>
      <c r="O41" s="8" t="s">
        <v>240</v>
      </c>
      <c r="P41" s="24">
        <v>9</v>
      </c>
      <c r="Q41" s="19">
        <v>6</v>
      </c>
      <c r="R41" s="8">
        <v>5</v>
      </c>
      <c r="S41" s="8">
        <v>3</v>
      </c>
      <c r="T41" s="20">
        <v>14</v>
      </c>
      <c r="U41" s="21">
        <v>9</v>
      </c>
      <c r="V41" s="21">
        <v>3</v>
      </c>
      <c r="W41" s="4" t="s">
        <v>244</v>
      </c>
      <c r="X41" s="2"/>
    </row>
    <row r="42" spans="1:24" ht="12.75" x14ac:dyDescent="0.2">
      <c r="A42" s="17" t="s">
        <v>36</v>
      </c>
      <c r="B42" s="17" t="s">
        <v>120</v>
      </c>
      <c r="C42" s="9" t="s">
        <v>225</v>
      </c>
      <c r="D42" s="17" t="s">
        <v>174</v>
      </c>
      <c r="E42" s="17" t="s">
        <v>190</v>
      </c>
      <c r="F42" s="18">
        <v>61.780320564599997</v>
      </c>
      <c r="G42" s="17" t="s">
        <v>194</v>
      </c>
      <c r="H42" s="25" t="s">
        <v>205</v>
      </c>
      <c r="I42" s="17" t="s">
        <v>239</v>
      </c>
      <c r="J42" s="17"/>
      <c r="K42" s="17"/>
      <c r="L42" s="17"/>
      <c r="M42" s="17" t="s">
        <v>239</v>
      </c>
      <c r="N42" s="17"/>
      <c r="O42" s="8" t="s">
        <v>240</v>
      </c>
      <c r="P42" s="24">
        <v>2</v>
      </c>
      <c r="Q42" s="19">
        <v>3</v>
      </c>
      <c r="R42" s="8">
        <v>1</v>
      </c>
      <c r="S42" s="8">
        <v>3</v>
      </c>
      <c r="T42" s="20">
        <v>7</v>
      </c>
      <c r="U42" s="21">
        <v>61</v>
      </c>
      <c r="V42" s="21">
        <v>7</v>
      </c>
      <c r="W42" s="4" t="s">
        <v>244</v>
      </c>
      <c r="X42" s="2"/>
    </row>
    <row r="43" spans="1:24" ht="12.75" x14ac:dyDescent="0.2">
      <c r="A43" s="17" t="s">
        <v>37</v>
      </c>
      <c r="B43" s="17" t="s">
        <v>121</v>
      </c>
      <c r="C43" s="9" t="s">
        <v>223</v>
      </c>
      <c r="D43" s="17" t="s">
        <v>174</v>
      </c>
      <c r="E43" s="17" t="s">
        <v>190</v>
      </c>
      <c r="F43" s="18">
        <v>53.962303661500002</v>
      </c>
      <c r="G43" s="17" t="s">
        <v>194</v>
      </c>
      <c r="H43" s="17" t="s">
        <v>246</v>
      </c>
      <c r="I43" s="17"/>
      <c r="J43" s="17"/>
      <c r="K43" s="17"/>
      <c r="L43" s="17"/>
      <c r="M43" s="17"/>
      <c r="N43" s="17"/>
      <c r="O43" s="8" t="s">
        <v>241</v>
      </c>
      <c r="P43" s="24">
        <v>1</v>
      </c>
      <c r="Q43" s="19">
        <v>3</v>
      </c>
      <c r="R43" s="8">
        <v>0</v>
      </c>
      <c r="S43" s="8">
        <v>0</v>
      </c>
      <c r="T43" s="20">
        <v>3</v>
      </c>
      <c r="U43" s="21">
        <v>100</v>
      </c>
      <c r="V43" s="21">
        <v>23</v>
      </c>
      <c r="W43" s="4" t="s">
        <v>245</v>
      </c>
      <c r="X43" s="2"/>
    </row>
    <row r="44" spans="1:24" ht="12.75" x14ac:dyDescent="0.2">
      <c r="A44" s="17" t="s">
        <v>38</v>
      </c>
      <c r="B44" s="17" t="s">
        <v>122</v>
      </c>
      <c r="C44" s="9" t="s">
        <v>225</v>
      </c>
      <c r="D44" s="17" t="s">
        <v>174</v>
      </c>
      <c r="E44" s="17" t="s">
        <v>190</v>
      </c>
      <c r="F44" s="18">
        <v>23.3825067205</v>
      </c>
      <c r="G44" s="17" t="s">
        <v>194</v>
      </c>
      <c r="H44" s="25" t="s">
        <v>205</v>
      </c>
      <c r="I44" s="17" t="s">
        <v>239</v>
      </c>
      <c r="J44" s="17" t="s">
        <v>239</v>
      </c>
      <c r="K44" s="17"/>
      <c r="L44" s="17"/>
      <c r="M44" s="17" t="s">
        <v>239</v>
      </c>
      <c r="N44" s="17"/>
      <c r="O44" s="8" t="s">
        <v>240</v>
      </c>
      <c r="P44" s="24">
        <v>4</v>
      </c>
      <c r="Q44" s="19">
        <v>4</v>
      </c>
      <c r="R44" s="8">
        <v>1</v>
      </c>
      <c r="S44" s="8">
        <v>3</v>
      </c>
      <c r="T44" s="20">
        <v>8</v>
      </c>
      <c r="U44" s="21">
        <v>53</v>
      </c>
      <c r="V44" s="21">
        <v>6</v>
      </c>
      <c r="W44" s="4" t="s">
        <v>244</v>
      </c>
      <c r="X44" s="2"/>
    </row>
    <row r="45" spans="1:24" ht="12.75" x14ac:dyDescent="0.2">
      <c r="A45" s="17" t="s">
        <v>39</v>
      </c>
      <c r="B45" s="17" t="s">
        <v>123</v>
      </c>
      <c r="C45" s="9" t="s">
        <v>225</v>
      </c>
      <c r="D45" s="17" t="s">
        <v>174</v>
      </c>
      <c r="E45" s="17" t="s">
        <v>190</v>
      </c>
      <c r="F45" s="18">
        <v>38.920430761399999</v>
      </c>
      <c r="G45" s="17" t="s">
        <v>194</v>
      </c>
      <c r="H45" s="25" t="s">
        <v>205</v>
      </c>
      <c r="I45" s="17" t="s">
        <v>239</v>
      </c>
      <c r="J45" s="17"/>
      <c r="K45" s="17"/>
      <c r="L45" s="17"/>
      <c r="M45" s="17" t="s">
        <v>239</v>
      </c>
      <c r="N45" s="17"/>
      <c r="O45" s="8" t="s">
        <v>240</v>
      </c>
      <c r="P45" s="24">
        <v>9</v>
      </c>
      <c r="Q45" s="19">
        <v>6</v>
      </c>
      <c r="R45" s="9">
        <v>5</v>
      </c>
      <c r="S45" s="9">
        <v>3</v>
      </c>
      <c r="T45" s="20">
        <v>14</v>
      </c>
      <c r="U45" s="21">
        <v>9</v>
      </c>
      <c r="V45" s="21">
        <v>3</v>
      </c>
      <c r="W45" s="4" t="s">
        <v>244</v>
      </c>
      <c r="X45" s="2"/>
    </row>
    <row r="46" spans="1:24" ht="12.75" x14ac:dyDescent="0.2">
      <c r="A46" s="17" t="s">
        <v>40</v>
      </c>
      <c r="B46" s="17" t="s">
        <v>124</v>
      </c>
      <c r="C46" s="9" t="s">
        <v>226</v>
      </c>
      <c r="D46" s="17" t="s">
        <v>174</v>
      </c>
      <c r="E46" s="17" t="s">
        <v>190</v>
      </c>
      <c r="F46" s="18">
        <v>49.6521371579</v>
      </c>
      <c r="G46" s="17" t="s">
        <v>194</v>
      </c>
      <c r="H46" s="25" t="s">
        <v>205</v>
      </c>
      <c r="I46" s="17" t="s">
        <v>239</v>
      </c>
      <c r="J46" s="17"/>
      <c r="K46" s="17"/>
      <c r="L46" s="17"/>
      <c r="M46" s="17"/>
      <c r="N46" s="17"/>
      <c r="O46" s="8" t="s">
        <v>240</v>
      </c>
      <c r="P46" s="24">
        <v>1</v>
      </c>
      <c r="Q46" s="19">
        <v>3</v>
      </c>
      <c r="R46" s="8">
        <v>1</v>
      </c>
      <c r="S46" s="8">
        <v>1</v>
      </c>
      <c r="T46" s="20">
        <v>5</v>
      </c>
      <c r="U46" s="21">
        <v>84</v>
      </c>
      <c r="V46" s="21">
        <v>19</v>
      </c>
      <c r="W46" s="4" t="s">
        <v>245</v>
      </c>
      <c r="X46" s="2"/>
    </row>
    <row r="47" spans="1:24" ht="12.75" x14ac:dyDescent="0.2">
      <c r="A47" s="17" t="s">
        <v>41</v>
      </c>
      <c r="B47" s="17" t="s">
        <v>125</v>
      </c>
      <c r="C47" s="9" t="s">
        <v>226</v>
      </c>
      <c r="D47" s="17" t="s">
        <v>174</v>
      </c>
      <c r="E47" s="17" t="s">
        <v>190</v>
      </c>
      <c r="F47" s="18">
        <v>9.4720754892700008</v>
      </c>
      <c r="G47" s="17" t="s">
        <v>194</v>
      </c>
      <c r="H47" s="25" t="s">
        <v>205</v>
      </c>
      <c r="I47" s="17" t="s">
        <v>239</v>
      </c>
      <c r="J47" s="17" t="s">
        <v>239</v>
      </c>
      <c r="K47" s="17"/>
      <c r="L47" s="17"/>
      <c r="M47" s="17" t="s">
        <v>239</v>
      </c>
      <c r="N47" s="17"/>
      <c r="O47" s="8" t="s">
        <v>240</v>
      </c>
      <c r="P47" s="24">
        <v>5</v>
      </c>
      <c r="Q47" s="19">
        <v>4</v>
      </c>
      <c r="R47" s="8">
        <v>1</v>
      </c>
      <c r="S47" s="8">
        <v>1</v>
      </c>
      <c r="T47" s="20">
        <v>6</v>
      </c>
      <c r="U47" s="21">
        <v>66</v>
      </c>
      <c r="V47" s="21">
        <v>9</v>
      </c>
      <c r="W47" s="4" t="s">
        <v>245</v>
      </c>
      <c r="X47" s="2"/>
    </row>
    <row r="48" spans="1:24" ht="12.75" x14ac:dyDescent="0.2">
      <c r="A48" s="25" t="s">
        <v>276</v>
      </c>
      <c r="B48" s="25" t="s">
        <v>277</v>
      </c>
      <c r="C48" s="25"/>
      <c r="D48" s="25" t="s">
        <v>176</v>
      </c>
      <c r="E48" s="26" t="s">
        <v>190</v>
      </c>
      <c r="F48" s="18">
        <v>14.8</v>
      </c>
      <c r="G48" s="25" t="s">
        <v>293</v>
      </c>
      <c r="H48" s="25" t="s">
        <v>205</v>
      </c>
      <c r="I48" s="17" t="s">
        <v>239</v>
      </c>
      <c r="J48" s="25"/>
      <c r="K48" s="25"/>
      <c r="L48" s="25"/>
      <c r="M48" s="17" t="s">
        <v>239</v>
      </c>
      <c r="N48" s="25"/>
      <c r="O48" s="8" t="s">
        <v>240</v>
      </c>
      <c r="P48" s="24">
        <v>2</v>
      </c>
      <c r="Q48" s="19">
        <v>3</v>
      </c>
      <c r="R48" s="8">
        <v>1</v>
      </c>
      <c r="S48" s="8">
        <v>1</v>
      </c>
      <c r="T48" s="20">
        <v>5</v>
      </c>
      <c r="U48" s="21">
        <v>75</v>
      </c>
      <c r="V48" s="21">
        <v>13</v>
      </c>
      <c r="W48" s="4" t="s">
        <v>245</v>
      </c>
      <c r="X48" s="2"/>
    </row>
    <row r="49" spans="1:24" ht="12.75" x14ac:dyDescent="0.2">
      <c r="A49" s="17" t="s">
        <v>42</v>
      </c>
      <c r="B49" s="17" t="s">
        <v>126</v>
      </c>
      <c r="C49" s="9" t="s">
        <v>220</v>
      </c>
      <c r="D49" s="17" t="s">
        <v>176</v>
      </c>
      <c r="E49" s="17" t="s">
        <v>190</v>
      </c>
      <c r="F49" s="18">
        <v>12.6986918971</v>
      </c>
      <c r="G49" s="25" t="s">
        <v>293</v>
      </c>
      <c r="H49" s="25" t="s">
        <v>205</v>
      </c>
      <c r="I49" s="17" t="s">
        <v>239</v>
      </c>
      <c r="J49" s="17"/>
      <c r="K49" s="17"/>
      <c r="L49" s="17"/>
      <c r="M49" s="17"/>
      <c r="N49" s="17"/>
      <c r="O49" s="8" t="s">
        <v>240</v>
      </c>
      <c r="P49" s="24">
        <v>4</v>
      </c>
      <c r="Q49" s="19">
        <v>4</v>
      </c>
      <c r="R49" s="8">
        <v>1</v>
      </c>
      <c r="S49" s="8">
        <v>1</v>
      </c>
      <c r="T49" s="20">
        <v>6</v>
      </c>
      <c r="U49" s="21">
        <v>69</v>
      </c>
      <c r="V49" s="21">
        <v>11</v>
      </c>
      <c r="W49" s="4" t="s">
        <v>245</v>
      </c>
      <c r="X49" s="2"/>
    </row>
    <row r="50" spans="1:24" ht="12.75" x14ac:dyDescent="0.2">
      <c r="A50" s="25" t="s">
        <v>278</v>
      </c>
      <c r="B50" s="25" t="s">
        <v>279</v>
      </c>
      <c r="C50" s="25"/>
      <c r="D50" s="25" t="s">
        <v>176</v>
      </c>
      <c r="E50" s="26" t="s">
        <v>190</v>
      </c>
      <c r="F50" s="18">
        <v>22.8</v>
      </c>
      <c r="G50" s="25" t="s">
        <v>293</v>
      </c>
      <c r="H50" s="25" t="s">
        <v>205</v>
      </c>
      <c r="I50" s="17" t="s">
        <v>239</v>
      </c>
      <c r="J50" s="25"/>
      <c r="K50" s="25"/>
      <c r="L50" s="25"/>
      <c r="M50" s="17" t="s">
        <v>239</v>
      </c>
      <c r="N50" s="25"/>
      <c r="O50" s="8" t="s">
        <v>240</v>
      </c>
      <c r="P50" s="24">
        <v>2</v>
      </c>
      <c r="Q50" s="19">
        <v>3</v>
      </c>
      <c r="R50" s="8">
        <v>1</v>
      </c>
      <c r="S50" s="8">
        <v>1</v>
      </c>
      <c r="T50" s="20">
        <v>5</v>
      </c>
      <c r="U50" s="21">
        <v>75</v>
      </c>
      <c r="V50" s="21">
        <v>13</v>
      </c>
      <c r="W50" s="4" t="s">
        <v>245</v>
      </c>
      <c r="X50" s="2"/>
    </row>
    <row r="51" spans="1:24" ht="12.75" x14ac:dyDescent="0.2">
      <c r="A51" s="17" t="s">
        <v>43</v>
      </c>
      <c r="B51" s="17" t="s">
        <v>127</v>
      </c>
      <c r="C51" s="9" t="s">
        <v>221</v>
      </c>
      <c r="D51" s="17" t="s">
        <v>177</v>
      </c>
      <c r="E51" s="17" t="s">
        <v>190</v>
      </c>
      <c r="F51" s="18">
        <v>40.792566255200001</v>
      </c>
      <c r="G51" s="17" t="s">
        <v>260</v>
      </c>
      <c r="H51" s="25" t="s">
        <v>205</v>
      </c>
      <c r="I51" s="17" t="s">
        <v>239</v>
      </c>
      <c r="J51" s="17"/>
      <c r="K51" s="17"/>
      <c r="L51" s="17"/>
      <c r="M51" s="17"/>
      <c r="N51" s="17"/>
      <c r="O51" s="8" t="s">
        <v>240</v>
      </c>
      <c r="P51" s="24">
        <v>2</v>
      </c>
      <c r="Q51" s="19">
        <v>3</v>
      </c>
      <c r="R51" s="8">
        <v>1</v>
      </c>
      <c r="S51" s="8">
        <v>1</v>
      </c>
      <c r="T51" s="20">
        <v>5</v>
      </c>
      <c r="U51" s="21">
        <v>75</v>
      </c>
      <c r="V51" s="21">
        <v>13</v>
      </c>
      <c r="W51" s="4" t="s">
        <v>245</v>
      </c>
      <c r="X51" s="2"/>
    </row>
    <row r="52" spans="1:24" ht="12.75" x14ac:dyDescent="0.2">
      <c r="A52" s="17" t="s">
        <v>268</v>
      </c>
      <c r="B52" s="17" t="s">
        <v>269</v>
      </c>
      <c r="C52" s="9" t="s">
        <v>221</v>
      </c>
      <c r="D52" s="17" t="s">
        <v>177</v>
      </c>
      <c r="E52" s="17" t="s">
        <v>190</v>
      </c>
      <c r="F52" s="18">
        <v>17</v>
      </c>
      <c r="G52" s="17" t="s">
        <v>260</v>
      </c>
      <c r="H52" s="25" t="s">
        <v>205</v>
      </c>
      <c r="I52" s="17" t="s">
        <v>239</v>
      </c>
      <c r="J52" s="17"/>
      <c r="K52" s="17" t="s">
        <v>239</v>
      </c>
      <c r="L52" s="17"/>
      <c r="M52" s="17"/>
      <c r="N52" s="17"/>
      <c r="O52" s="8" t="s">
        <v>240</v>
      </c>
      <c r="P52" s="24">
        <v>1</v>
      </c>
      <c r="Q52" s="19">
        <v>3</v>
      </c>
      <c r="R52" s="8">
        <v>1</v>
      </c>
      <c r="S52" s="8">
        <v>1</v>
      </c>
      <c r="T52" s="20">
        <v>5</v>
      </c>
      <c r="U52" s="21">
        <v>84</v>
      </c>
      <c r="V52" s="21">
        <v>19</v>
      </c>
      <c r="W52" s="4" t="s">
        <v>245</v>
      </c>
      <c r="X52" s="2"/>
    </row>
    <row r="53" spans="1:24" ht="12.75" x14ac:dyDescent="0.2">
      <c r="A53" s="17" t="s">
        <v>264</v>
      </c>
      <c r="B53" s="17" t="s">
        <v>265</v>
      </c>
      <c r="C53" s="9" t="s">
        <v>219</v>
      </c>
      <c r="D53" s="17" t="s">
        <v>176</v>
      </c>
      <c r="E53" s="17" t="s">
        <v>190</v>
      </c>
      <c r="F53" s="18">
        <v>3.4</v>
      </c>
      <c r="G53" s="25" t="s">
        <v>293</v>
      </c>
      <c r="H53" s="25" t="s">
        <v>205</v>
      </c>
      <c r="I53" s="17"/>
      <c r="J53" s="17" t="s">
        <v>239</v>
      </c>
      <c r="K53" s="17"/>
      <c r="L53" s="17"/>
      <c r="M53" s="17" t="s">
        <v>239</v>
      </c>
      <c r="N53" s="17"/>
      <c r="O53" s="8" t="s">
        <v>240</v>
      </c>
      <c r="P53" s="24">
        <v>2</v>
      </c>
      <c r="Q53" s="19">
        <v>3</v>
      </c>
      <c r="R53" s="8">
        <v>1</v>
      </c>
      <c r="S53" s="8">
        <v>1</v>
      </c>
      <c r="T53" s="20">
        <v>5</v>
      </c>
      <c r="U53" s="21">
        <v>75</v>
      </c>
      <c r="V53" s="21">
        <v>13</v>
      </c>
      <c r="W53" s="4" t="s">
        <v>245</v>
      </c>
      <c r="X53" s="2"/>
    </row>
    <row r="54" spans="1:24" ht="12.75" x14ac:dyDescent="0.2">
      <c r="A54" s="17" t="s">
        <v>44</v>
      </c>
      <c r="B54" s="17" t="s">
        <v>128</v>
      </c>
      <c r="C54" s="9" t="s">
        <v>219</v>
      </c>
      <c r="D54" s="17" t="s">
        <v>176</v>
      </c>
      <c r="E54" s="17" t="s">
        <v>190</v>
      </c>
      <c r="F54" s="18">
        <v>3.4733030235599998</v>
      </c>
      <c r="G54" s="25" t="s">
        <v>293</v>
      </c>
      <c r="H54" s="25" t="s">
        <v>205</v>
      </c>
      <c r="I54" s="17" t="s">
        <v>239</v>
      </c>
      <c r="J54" s="17" t="s">
        <v>239</v>
      </c>
      <c r="K54" s="17"/>
      <c r="L54" s="17"/>
      <c r="M54" s="17" t="s">
        <v>239</v>
      </c>
      <c r="N54" s="17"/>
      <c r="O54" s="8" t="s">
        <v>240</v>
      </c>
      <c r="P54" s="24">
        <v>5</v>
      </c>
      <c r="Q54" s="19">
        <v>4</v>
      </c>
      <c r="R54" s="8">
        <v>1</v>
      </c>
      <c r="S54" s="8">
        <v>1</v>
      </c>
      <c r="T54" s="20">
        <v>6</v>
      </c>
      <c r="U54" s="21">
        <v>66</v>
      </c>
      <c r="V54" s="21">
        <v>9</v>
      </c>
      <c r="W54" s="4" t="s">
        <v>245</v>
      </c>
      <c r="X54" s="2"/>
    </row>
    <row r="55" spans="1:24" ht="12.75" x14ac:dyDescent="0.2">
      <c r="A55" s="17" t="s">
        <v>45</v>
      </c>
      <c r="B55" s="17" t="s">
        <v>129</v>
      </c>
      <c r="C55" s="9" t="s">
        <v>219</v>
      </c>
      <c r="D55" s="17" t="s">
        <v>176</v>
      </c>
      <c r="E55" s="17" t="s">
        <v>190</v>
      </c>
      <c r="F55" s="18">
        <v>26.1773147468</v>
      </c>
      <c r="G55" s="25" t="s">
        <v>293</v>
      </c>
      <c r="H55" s="25" t="s">
        <v>205</v>
      </c>
      <c r="I55" s="17"/>
      <c r="J55" s="17"/>
      <c r="K55" s="17"/>
      <c r="L55" s="17"/>
      <c r="M55" s="17" t="s">
        <v>239</v>
      </c>
      <c r="N55" s="17"/>
      <c r="O55" s="8" t="s">
        <v>240</v>
      </c>
      <c r="P55" s="24">
        <v>2</v>
      </c>
      <c r="Q55" s="19">
        <v>3</v>
      </c>
      <c r="R55" s="8">
        <v>1</v>
      </c>
      <c r="S55" s="8">
        <v>1</v>
      </c>
      <c r="T55" s="20">
        <v>5</v>
      </c>
      <c r="U55" s="21">
        <v>75</v>
      </c>
      <c r="V55" s="21">
        <v>13</v>
      </c>
      <c r="W55" s="4" t="s">
        <v>245</v>
      </c>
      <c r="X55" s="2"/>
    </row>
    <row r="56" spans="1:24" ht="12.75" x14ac:dyDescent="0.2">
      <c r="A56" s="17" t="s">
        <v>46</v>
      </c>
      <c r="B56" s="17" t="s">
        <v>130</v>
      </c>
      <c r="C56" s="9" t="s">
        <v>219</v>
      </c>
      <c r="D56" s="17" t="s">
        <v>176</v>
      </c>
      <c r="E56" s="17" t="s">
        <v>190</v>
      </c>
      <c r="F56" s="18">
        <v>6.2678738123700004</v>
      </c>
      <c r="G56" s="25" t="s">
        <v>293</v>
      </c>
      <c r="H56" s="25" t="s">
        <v>205</v>
      </c>
      <c r="I56" s="17" t="s">
        <v>239</v>
      </c>
      <c r="J56" s="17"/>
      <c r="K56" s="17"/>
      <c r="L56" s="17"/>
      <c r="M56" s="17" t="s">
        <v>239</v>
      </c>
      <c r="N56" s="17"/>
      <c r="O56" s="8" t="s">
        <v>240</v>
      </c>
      <c r="P56" s="24">
        <v>2</v>
      </c>
      <c r="Q56" s="19">
        <v>3</v>
      </c>
      <c r="R56" s="8">
        <v>1</v>
      </c>
      <c r="S56" s="8">
        <v>1</v>
      </c>
      <c r="T56" s="20">
        <v>5</v>
      </c>
      <c r="U56" s="21">
        <v>75</v>
      </c>
      <c r="V56" s="21">
        <v>13</v>
      </c>
      <c r="W56" s="4" t="s">
        <v>245</v>
      </c>
      <c r="X56" s="2"/>
    </row>
    <row r="57" spans="1:24" ht="12.75" x14ac:dyDescent="0.2">
      <c r="A57" s="17" t="s">
        <v>267</v>
      </c>
      <c r="B57" s="17" t="s">
        <v>266</v>
      </c>
      <c r="C57" s="9" t="s">
        <v>219</v>
      </c>
      <c r="D57" s="17" t="s">
        <v>176</v>
      </c>
      <c r="E57" s="17" t="s">
        <v>190</v>
      </c>
      <c r="F57" s="18">
        <v>3</v>
      </c>
      <c r="G57" s="25" t="s">
        <v>293</v>
      </c>
      <c r="H57" s="25" t="s">
        <v>205</v>
      </c>
      <c r="I57" s="17" t="s">
        <v>239</v>
      </c>
      <c r="J57" s="17"/>
      <c r="K57" s="17"/>
      <c r="L57" s="17"/>
      <c r="M57" s="17" t="s">
        <v>239</v>
      </c>
      <c r="N57" s="17"/>
      <c r="O57" s="8" t="s">
        <v>240</v>
      </c>
      <c r="P57" s="24">
        <v>3</v>
      </c>
      <c r="Q57" s="19">
        <v>3</v>
      </c>
      <c r="R57" s="8">
        <v>1</v>
      </c>
      <c r="S57" s="8">
        <v>1</v>
      </c>
      <c r="T57" s="20">
        <v>5</v>
      </c>
      <c r="U57" s="21">
        <v>73</v>
      </c>
      <c r="V57" s="21">
        <v>12</v>
      </c>
      <c r="W57" s="4" t="s">
        <v>245</v>
      </c>
      <c r="X57" s="2"/>
    </row>
    <row r="58" spans="1:24" ht="12.75" x14ac:dyDescent="0.2">
      <c r="A58" s="17" t="s">
        <v>47</v>
      </c>
      <c r="B58" s="17" t="s">
        <v>131</v>
      </c>
      <c r="C58" s="9" t="s">
        <v>219</v>
      </c>
      <c r="D58" s="17" t="s">
        <v>176</v>
      </c>
      <c r="E58" s="17" t="s">
        <v>190</v>
      </c>
      <c r="F58" s="18">
        <v>7.60556473752</v>
      </c>
      <c r="G58" s="25" t="s">
        <v>293</v>
      </c>
      <c r="H58" s="25" t="s">
        <v>205</v>
      </c>
      <c r="I58" s="17"/>
      <c r="J58" s="17" t="s">
        <v>239</v>
      </c>
      <c r="K58" s="17"/>
      <c r="L58" s="17"/>
      <c r="M58" s="17" t="s">
        <v>239</v>
      </c>
      <c r="N58" s="17"/>
      <c r="O58" s="8" t="s">
        <v>240</v>
      </c>
      <c r="P58" s="24">
        <v>2</v>
      </c>
      <c r="Q58" s="19">
        <v>3</v>
      </c>
      <c r="R58" s="8">
        <v>1</v>
      </c>
      <c r="S58" s="8">
        <v>3</v>
      </c>
      <c r="T58" s="20">
        <v>7</v>
      </c>
      <c r="U58" s="21">
        <v>61</v>
      </c>
      <c r="V58" s="21">
        <v>7</v>
      </c>
      <c r="W58" s="4" t="s">
        <v>245</v>
      </c>
      <c r="X58" s="2"/>
    </row>
    <row r="59" spans="1:24" ht="12.75" x14ac:dyDescent="0.2">
      <c r="A59" s="9" t="s">
        <v>258</v>
      </c>
      <c r="B59" s="9" t="s">
        <v>259</v>
      </c>
      <c r="C59" s="9" t="s">
        <v>200</v>
      </c>
      <c r="D59" s="9" t="s">
        <v>178</v>
      </c>
      <c r="E59" s="17" t="s">
        <v>191</v>
      </c>
      <c r="F59" s="9">
        <v>12.818</v>
      </c>
      <c r="G59" s="9" t="s">
        <v>195</v>
      </c>
      <c r="H59" s="25" t="s">
        <v>205</v>
      </c>
      <c r="I59" s="17" t="s">
        <v>239</v>
      </c>
      <c r="J59" s="17" t="s">
        <v>239</v>
      </c>
      <c r="K59" s="9"/>
      <c r="L59" s="17" t="s">
        <v>239</v>
      </c>
      <c r="M59" s="17" t="s">
        <v>239</v>
      </c>
      <c r="N59" s="9"/>
      <c r="O59" s="8" t="s">
        <v>240</v>
      </c>
      <c r="P59" s="24">
        <v>8</v>
      </c>
      <c r="Q59" s="19">
        <v>5</v>
      </c>
      <c r="R59" s="8">
        <v>2</v>
      </c>
      <c r="S59" s="8">
        <v>3</v>
      </c>
      <c r="T59" s="20">
        <v>10</v>
      </c>
      <c r="U59" s="21">
        <v>34</v>
      </c>
      <c r="V59" s="21">
        <v>17</v>
      </c>
      <c r="W59" s="4" t="s">
        <v>245</v>
      </c>
      <c r="X59" s="2"/>
    </row>
    <row r="60" spans="1:24" ht="12.75" x14ac:dyDescent="0.2">
      <c r="A60" s="17" t="s">
        <v>48</v>
      </c>
      <c r="B60" s="17" t="s">
        <v>132</v>
      </c>
      <c r="C60" s="9" t="s">
        <v>200</v>
      </c>
      <c r="D60" s="17" t="s">
        <v>178</v>
      </c>
      <c r="E60" s="17" t="s">
        <v>191</v>
      </c>
      <c r="F60" s="18">
        <v>37.4686066935</v>
      </c>
      <c r="G60" s="17" t="s">
        <v>195</v>
      </c>
      <c r="H60" s="25" t="s">
        <v>205</v>
      </c>
      <c r="I60" s="17" t="s">
        <v>239</v>
      </c>
      <c r="J60" s="17"/>
      <c r="K60" s="17"/>
      <c r="L60" s="17"/>
      <c r="M60" s="17"/>
      <c r="N60" s="17"/>
      <c r="O60" s="8" t="s">
        <v>240</v>
      </c>
      <c r="P60" s="24">
        <v>10</v>
      </c>
      <c r="Q60" s="19">
        <v>6</v>
      </c>
      <c r="R60" s="8">
        <v>1</v>
      </c>
      <c r="S60" s="8">
        <v>3</v>
      </c>
      <c r="T60" s="20">
        <v>10</v>
      </c>
      <c r="U60" s="21">
        <v>28</v>
      </c>
      <c r="V60" s="21">
        <v>15</v>
      </c>
      <c r="W60" s="4" t="s">
        <v>244</v>
      </c>
      <c r="X60" s="2"/>
    </row>
    <row r="61" spans="1:24" ht="12.75" x14ac:dyDescent="0.2">
      <c r="A61" s="17" t="s">
        <v>49</v>
      </c>
      <c r="B61" s="17" t="s">
        <v>133</v>
      </c>
      <c r="C61" s="9" t="s">
        <v>229</v>
      </c>
      <c r="D61" s="17" t="s">
        <v>179</v>
      </c>
      <c r="E61" s="17" t="s">
        <v>191</v>
      </c>
      <c r="F61" s="18">
        <v>3.0985363991099999</v>
      </c>
      <c r="G61" s="17" t="s">
        <v>195</v>
      </c>
      <c r="H61" s="25" t="s">
        <v>205</v>
      </c>
      <c r="I61" s="17" t="s">
        <v>239</v>
      </c>
      <c r="J61" s="17"/>
      <c r="K61" s="17"/>
      <c r="L61" s="17" t="s">
        <v>239</v>
      </c>
      <c r="M61" s="17" t="s">
        <v>239</v>
      </c>
      <c r="N61" s="17"/>
      <c r="O61" s="8" t="s">
        <v>240</v>
      </c>
      <c r="P61" s="24">
        <v>9</v>
      </c>
      <c r="Q61" s="19">
        <v>6</v>
      </c>
      <c r="R61" s="8">
        <v>2</v>
      </c>
      <c r="S61" s="8">
        <v>3</v>
      </c>
      <c r="T61" s="20">
        <v>11</v>
      </c>
      <c r="U61" s="21">
        <v>26</v>
      </c>
      <c r="V61" s="21">
        <v>14</v>
      </c>
      <c r="W61" s="4" t="s">
        <v>245</v>
      </c>
      <c r="X61" s="2"/>
    </row>
    <row r="62" spans="1:24" s="4" customFormat="1" ht="12.75" x14ac:dyDescent="0.2">
      <c r="A62" s="17" t="s">
        <v>50</v>
      </c>
      <c r="B62" s="17" t="s">
        <v>134</v>
      </c>
      <c r="C62" s="9" t="s">
        <v>230</v>
      </c>
      <c r="D62" s="17" t="s">
        <v>179</v>
      </c>
      <c r="E62" s="17" t="s">
        <v>191</v>
      </c>
      <c r="F62" s="18">
        <v>39.474979544100002</v>
      </c>
      <c r="G62" s="17" t="s">
        <v>195</v>
      </c>
      <c r="H62" s="25" t="s">
        <v>205</v>
      </c>
      <c r="I62" s="17"/>
      <c r="J62" s="17"/>
      <c r="K62" s="17"/>
      <c r="L62" s="17" t="s">
        <v>239</v>
      </c>
      <c r="M62" s="17" t="s">
        <v>239</v>
      </c>
      <c r="N62" s="17"/>
      <c r="O62" s="8" t="s">
        <v>240</v>
      </c>
      <c r="P62" s="24">
        <v>9</v>
      </c>
      <c r="Q62" s="19">
        <v>6</v>
      </c>
      <c r="R62" s="8">
        <v>5</v>
      </c>
      <c r="S62" s="8">
        <v>3</v>
      </c>
      <c r="T62" s="20">
        <v>14</v>
      </c>
      <c r="U62" s="21">
        <v>9</v>
      </c>
      <c r="V62" s="21">
        <v>5</v>
      </c>
      <c r="W62" s="4" t="s">
        <v>244</v>
      </c>
    </row>
    <row r="63" spans="1:24" s="4" customFormat="1" ht="12.75" x14ac:dyDescent="0.2">
      <c r="A63" s="25" t="s">
        <v>280</v>
      </c>
      <c r="B63" s="25" t="s">
        <v>281</v>
      </c>
      <c r="C63" s="25"/>
      <c r="D63" s="17" t="s">
        <v>179</v>
      </c>
      <c r="E63" s="26" t="s">
        <v>191</v>
      </c>
      <c r="F63" s="18">
        <v>38.1</v>
      </c>
      <c r="G63" s="25" t="s">
        <v>195</v>
      </c>
      <c r="H63" s="25" t="s">
        <v>205</v>
      </c>
      <c r="I63" s="25"/>
      <c r="J63" s="25"/>
      <c r="K63" s="25"/>
      <c r="L63" s="17" t="s">
        <v>239</v>
      </c>
      <c r="M63" s="25"/>
      <c r="N63" s="25"/>
      <c r="O63" s="8" t="s">
        <v>240</v>
      </c>
      <c r="P63" s="24">
        <v>1</v>
      </c>
      <c r="Q63" s="19">
        <v>3</v>
      </c>
      <c r="R63" s="8">
        <v>1</v>
      </c>
      <c r="S63" s="8">
        <v>3</v>
      </c>
      <c r="T63" s="20">
        <v>7</v>
      </c>
      <c r="U63" s="21">
        <v>65</v>
      </c>
      <c r="V63" s="21">
        <v>28</v>
      </c>
      <c r="W63" s="4" t="s">
        <v>245</v>
      </c>
    </row>
    <row r="64" spans="1:24" s="4" customFormat="1" ht="12.75" x14ac:dyDescent="0.2">
      <c r="A64" s="17" t="s">
        <v>51</v>
      </c>
      <c r="B64" s="17" t="s">
        <v>135</v>
      </c>
      <c r="C64" s="9" t="s">
        <v>201</v>
      </c>
      <c r="D64" s="17" t="s">
        <v>179</v>
      </c>
      <c r="E64" s="17" t="s">
        <v>191</v>
      </c>
      <c r="F64" s="18">
        <v>9.6393825171599996</v>
      </c>
      <c r="G64" s="17" t="s">
        <v>195</v>
      </c>
      <c r="H64" s="25" t="s">
        <v>205</v>
      </c>
      <c r="I64" s="17"/>
      <c r="J64" s="17"/>
      <c r="K64" s="17"/>
      <c r="L64" s="17"/>
      <c r="M64" s="17" t="s">
        <v>239</v>
      </c>
      <c r="N64" s="17"/>
      <c r="O64" s="8" t="s">
        <v>240</v>
      </c>
      <c r="P64" s="24">
        <v>8</v>
      </c>
      <c r="Q64" s="19">
        <v>5</v>
      </c>
      <c r="R64" s="8">
        <v>1</v>
      </c>
      <c r="S64" s="8">
        <v>3</v>
      </c>
      <c r="T64" s="20">
        <v>9</v>
      </c>
      <c r="U64" s="21">
        <v>40</v>
      </c>
      <c r="V64" s="21">
        <v>21</v>
      </c>
      <c r="W64" s="4" t="s">
        <v>245</v>
      </c>
    </row>
    <row r="65" spans="1:24" s="4" customFormat="1" ht="12.75" x14ac:dyDescent="0.2">
      <c r="A65" s="17" t="s">
        <v>52</v>
      </c>
      <c r="B65" s="17" t="s">
        <v>136</v>
      </c>
      <c r="C65" s="9" t="s">
        <v>201</v>
      </c>
      <c r="D65" s="17" t="s">
        <v>179</v>
      </c>
      <c r="E65" s="17" t="s">
        <v>191</v>
      </c>
      <c r="F65" s="18">
        <v>28.791151746299999</v>
      </c>
      <c r="G65" s="17" t="s">
        <v>195</v>
      </c>
      <c r="H65" s="25" t="s">
        <v>205</v>
      </c>
      <c r="I65" s="17" t="s">
        <v>239</v>
      </c>
      <c r="J65" s="17" t="s">
        <v>239</v>
      </c>
      <c r="K65" s="17" t="s">
        <v>239</v>
      </c>
      <c r="L65" s="17" t="s">
        <v>239</v>
      </c>
      <c r="M65" s="17" t="s">
        <v>239</v>
      </c>
      <c r="N65" s="17"/>
      <c r="O65" s="8" t="s">
        <v>240</v>
      </c>
      <c r="P65" s="24">
        <v>3</v>
      </c>
      <c r="Q65" s="19">
        <v>3</v>
      </c>
      <c r="R65" s="8">
        <v>2</v>
      </c>
      <c r="S65" s="8">
        <v>2</v>
      </c>
      <c r="T65" s="20">
        <v>7</v>
      </c>
      <c r="U65" s="21">
        <v>58</v>
      </c>
      <c r="V65" s="21">
        <v>27</v>
      </c>
      <c r="W65" s="4" t="s">
        <v>245</v>
      </c>
    </row>
    <row r="66" spans="1:24" s="4" customFormat="1" ht="12.75" x14ac:dyDescent="0.2">
      <c r="A66" s="17" t="s">
        <v>53</v>
      </c>
      <c r="B66" s="17" t="s">
        <v>137</v>
      </c>
      <c r="C66" s="9" t="s">
        <v>231</v>
      </c>
      <c r="D66" s="17" t="s">
        <v>180</v>
      </c>
      <c r="E66" s="17" t="s">
        <v>191</v>
      </c>
      <c r="F66" s="18">
        <v>5.5778790697199998</v>
      </c>
      <c r="G66" s="17" t="s">
        <v>195</v>
      </c>
      <c r="H66" s="25" t="s">
        <v>205</v>
      </c>
      <c r="I66" s="17" t="s">
        <v>239</v>
      </c>
      <c r="J66" s="17"/>
      <c r="K66" s="17"/>
      <c r="L66" s="17" t="s">
        <v>239</v>
      </c>
      <c r="M66" s="17" t="s">
        <v>239</v>
      </c>
      <c r="N66" s="17"/>
      <c r="O66" s="8" t="s">
        <v>240</v>
      </c>
      <c r="P66" s="24">
        <v>9</v>
      </c>
      <c r="Q66" s="19">
        <v>6</v>
      </c>
      <c r="R66" s="8">
        <v>5</v>
      </c>
      <c r="S66" s="8">
        <v>3</v>
      </c>
      <c r="T66" s="20">
        <v>14</v>
      </c>
      <c r="U66" s="21">
        <v>9</v>
      </c>
      <c r="V66" s="21">
        <v>5</v>
      </c>
      <c r="W66" s="4" t="s">
        <v>243</v>
      </c>
    </row>
    <row r="67" spans="1:24" s="4" customFormat="1" ht="12.75" x14ac:dyDescent="0.2">
      <c r="A67" s="17" t="s">
        <v>54</v>
      </c>
      <c r="B67" s="17" t="s">
        <v>138</v>
      </c>
      <c r="C67" s="9" t="s">
        <v>231</v>
      </c>
      <c r="D67" s="17" t="s">
        <v>180</v>
      </c>
      <c r="E67" s="17" t="s">
        <v>191</v>
      </c>
      <c r="F67" s="18">
        <v>9.1072598047100009</v>
      </c>
      <c r="G67" s="17" t="s">
        <v>195</v>
      </c>
      <c r="H67" s="25" t="s">
        <v>205</v>
      </c>
      <c r="I67" s="17" t="s">
        <v>239</v>
      </c>
      <c r="J67" s="17"/>
      <c r="K67" s="17" t="s">
        <v>239</v>
      </c>
      <c r="L67" s="17" t="s">
        <v>239</v>
      </c>
      <c r="M67" s="17" t="s">
        <v>239</v>
      </c>
      <c r="N67" s="17"/>
      <c r="O67" s="8" t="s">
        <v>240</v>
      </c>
      <c r="P67" s="24">
        <v>14</v>
      </c>
      <c r="Q67" s="19">
        <v>8</v>
      </c>
      <c r="R67" s="8">
        <v>5</v>
      </c>
      <c r="S67" s="8">
        <v>3</v>
      </c>
      <c r="T67" s="20">
        <v>16</v>
      </c>
      <c r="U67" s="21">
        <v>1</v>
      </c>
      <c r="V67" s="21">
        <v>1</v>
      </c>
      <c r="W67" s="4" t="s">
        <v>243</v>
      </c>
    </row>
    <row r="68" spans="1:24" s="4" customFormat="1" ht="12.75" x14ac:dyDescent="0.2">
      <c r="A68" s="17" t="s">
        <v>55</v>
      </c>
      <c r="B68" s="17" t="s">
        <v>139</v>
      </c>
      <c r="C68" s="9" t="s">
        <v>233</v>
      </c>
      <c r="D68" s="17" t="s">
        <v>180</v>
      </c>
      <c r="E68" s="17" t="s">
        <v>191</v>
      </c>
      <c r="F68" s="18">
        <v>21.414270105</v>
      </c>
      <c r="G68" s="17" t="s">
        <v>195</v>
      </c>
      <c r="H68" s="17" t="s">
        <v>246</v>
      </c>
      <c r="I68" s="17"/>
      <c r="J68" s="17"/>
      <c r="K68" s="17"/>
      <c r="L68" s="17"/>
      <c r="M68" s="17"/>
      <c r="N68" s="17"/>
      <c r="O68" s="8" t="s">
        <v>241</v>
      </c>
      <c r="P68" s="24">
        <v>5</v>
      </c>
      <c r="Q68" s="19">
        <v>4</v>
      </c>
      <c r="R68" s="8">
        <v>1</v>
      </c>
      <c r="S68" s="8">
        <v>1</v>
      </c>
      <c r="T68" s="20">
        <v>6</v>
      </c>
      <c r="U68" s="21">
        <v>66</v>
      </c>
      <c r="V68" s="21">
        <v>29</v>
      </c>
      <c r="W68" s="4" t="s">
        <v>245</v>
      </c>
    </row>
    <row r="69" spans="1:24" s="4" customFormat="1" ht="12.75" x14ac:dyDescent="0.2">
      <c r="A69" s="17" t="s">
        <v>56</v>
      </c>
      <c r="B69" s="17" t="s">
        <v>140</v>
      </c>
      <c r="C69" s="9" t="s">
        <v>231</v>
      </c>
      <c r="D69" s="17" t="s">
        <v>180</v>
      </c>
      <c r="E69" s="17" t="s">
        <v>191</v>
      </c>
      <c r="F69" s="18">
        <v>5.4538501558599997</v>
      </c>
      <c r="G69" s="17" t="s">
        <v>195</v>
      </c>
      <c r="H69" s="25" t="s">
        <v>205</v>
      </c>
      <c r="I69" s="17" t="s">
        <v>239</v>
      </c>
      <c r="J69" s="17"/>
      <c r="K69" s="17" t="s">
        <v>239</v>
      </c>
      <c r="L69" s="17" t="s">
        <v>239</v>
      </c>
      <c r="M69" s="17" t="s">
        <v>239</v>
      </c>
      <c r="N69" s="17"/>
      <c r="O69" s="8" t="s">
        <v>240</v>
      </c>
      <c r="P69" s="24">
        <v>13</v>
      </c>
      <c r="Q69" s="19">
        <v>8</v>
      </c>
      <c r="R69" s="8">
        <v>5</v>
      </c>
      <c r="S69" s="8">
        <v>0</v>
      </c>
      <c r="T69" s="20">
        <v>13</v>
      </c>
      <c r="U69" s="21">
        <v>17</v>
      </c>
      <c r="V69" s="21">
        <v>9</v>
      </c>
      <c r="W69" s="4" t="s">
        <v>243</v>
      </c>
    </row>
    <row r="70" spans="1:24" s="4" customFormat="1" ht="12.75" x14ac:dyDescent="0.2">
      <c r="A70" s="17" t="s">
        <v>57</v>
      </c>
      <c r="B70" s="17" t="s">
        <v>141</v>
      </c>
      <c r="C70" s="9" t="s">
        <v>231</v>
      </c>
      <c r="D70" s="17" t="s">
        <v>180</v>
      </c>
      <c r="E70" s="17" t="s">
        <v>191</v>
      </c>
      <c r="F70" s="18">
        <v>10.455830294</v>
      </c>
      <c r="G70" s="17" t="s">
        <v>195</v>
      </c>
      <c r="H70" s="25" t="s">
        <v>205</v>
      </c>
      <c r="I70" s="17" t="s">
        <v>239</v>
      </c>
      <c r="J70" s="17"/>
      <c r="K70" s="17"/>
      <c r="L70" s="17"/>
      <c r="M70" s="17" t="s">
        <v>239</v>
      </c>
      <c r="N70" s="17"/>
      <c r="O70" s="8" t="s">
        <v>240</v>
      </c>
      <c r="P70" s="24">
        <v>7</v>
      </c>
      <c r="Q70" s="19">
        <v>5</v>
      </c>
      <c r="R70" s="8">
        <v>5</v>
      </c>
      <c r="S70" s="8">
        <v>2</v>
      </c>
      <c r="T70" s="20">
        <v>12</v>
      </c>
      <c r="U70" s="21">
        <v>22</v>
      </c>
      <c r="V70" s="21">
        <v>12</v>
      </c>
      <c r="W70" s="4" t="s">
        <v>245</v>
      </c>
    </row>
    <row r="71" spans="1:24" ht="12.75" x14ac:dyDescent="0.2">
      <c r="A71" s="17" t="s">
        <v>58</v>
      </c>
      <c r="B71" s="17" t="s">
        <v>142</v>
      </c>
      <c r="C71" s="9" t="s">
        <v>231</v>
      </c>
      <c r="D71" s="17" t="s">
        <v>180</v>
      </c>
      <c r="E71" s="17" t="s">
        <v>191</v>
      </c>
      <c r="F71" s="18">
        <v>18.2548860701</v>
      </c>
      <c r="G71" s="17" t="s">
        <v>195</v>
      </c>
      <c r="H71" s="17" t="s">
        <v>246</v>
      </c>
      <c r="I71" s="17"/>
      <c r="J71" s="17"/>
      <c r="K71" s="17"/>
      <c r="L71" s="17"/>
      <c r="M71" s="17"/>
      <c r="N71" s="17"/>
      <c r="O71" s="8" t="s">
        <v>241</v>
      </c>
      <c r="P71" s="24">
        <v>4</v>
      </c>
      <c r="Q71" s="19">
        <v>4</v>
      </c>
      <c r="R71" s="8">
        <v>0</v>
      </c>
      <c r="S71" s="8">
        <v>0</v>
      </c>
      <c r="T71" s="20">
        <v>4</v>
      </c>
      <c r="U71" s="21">
        <v>91</v>
      </c>
      <c r="V71" s="21">
        <v>34</v>
      </c>
      <c r="W71" s="4" t="s">
        <v>245</v>
      </c>
      <c r="X71" s="2"/>
    </row>
    <row r="72" spans="1:24" ht="12.75" x14ac:dyDescent="0.2">
      <c r="A72" s="17" t="s">
        <v>59</v>
      </c>
      <c r="B72" s="17" t="s">
        <v>143</v>
      </c>
      <c r="C72" s="9" t="s">
        <v>234</v>
      </c>
      <c r="D72" s="17" t="s">
        <v>180</v>
      </c>
      <c r="E72" s="17" t="s">
        <v>191</v>
      </c>
      <c r="F72" s="18">
        <v>6.2100925742199999</v>
      </c>
      <c r="G72" s="17" t="s">
        <v>195</v>
      </c>
      <c r="H72" s="25" t="s">
        <v>205</v>
      </c>
      <c r="I72" s="17"/>
      <c r="J72" s="17"/>
      <c r="K72" s="17"/>
      <c r="L72" s="17" t="s">
        <v>239</v>
      </c>
      <c r="M72" s="17"/>
      <c r="N72" s="17"/>
      <c r="O72" s="8" t="s">
        <v>240</v>
      </c>
      <c r="P72" s="24">
        <v>4</v>
      </c>
      <c r="Q72" s="19">
        <v>4</v>
      </c>
      <c r="R72" s="8">
        <v>2</v>
      </c>
      <c r="S72" s="8">
        <v>3</v>
      </c>
      <c r="T72" s="20">
        <v>9</v>
      </c>
      <c r="U72" s="21">
        <v>48</v>
      </c>
      <c r="V72" s="21">
        <v>24</v>
      </c>
      <c r="W72" s="4" t="s">
        <v>245</v>
      </c>
      <c r="X72" s="2"/>
    </row>
    <row r="73" spans="1:24" ht="12.75" x14ac:dyDescent="0.2">
      <c r="A73" s="17" t="s">
        <v>60</v>
      </c>
      <c r="B73" s="17" t="s">
        <v>144</v>
      </c>
      <c r="C73" s="9" t="s">
        <v>231</v>
      </c>
      <c r="D73" s="17" t="s">
        <v>180</v>
      </c>
      <c r="E73" s="17" t="s">
        <v>191</v>
      </c>
      <c r="F73" s="18">
        <v>12.435986591700001</v>
      </c>
      <c r="G73" s="17" t="s">
        <v>195</v>
      </c>
      <c r="H73" s="25" t="s">
        <v>205</v>
      </c>
      <c r="I73" s="17" t="s">
        <v>239</v>
      </c>
      <c r="J73" s="17"/>
      <c r="K73" s="17"/>
      <c r="L73" s="17"/>
      <c r="M73" s="17" t="s">
        <v>239</v>
      </c>
      <c r="N73" s="17"/>
      <c r="O73" s="8" t="s">
        <v>240</v>
      </c>
      <c r="P73" s="24">
        <v>8</v>
      </c>
      <c r="Q73" s="19">
        <v>5</v>
      </c>
      <c r="R73" s="8">
        <v>2</v>
      </c>
      <c r="S73" s="8">
        <v>3</v>
      </c>
      <c r="T73" s="20">
        <v>10</v>
      </c>
      <c r="U73" s="21">
        <v>34</v>
      </c>
      <c r="V73" s="21">
        <v>17</v>
      </c>
      <c r="W73" s="4" t="s">
        <v>244</v>
      </c>
      <c r="X73" s="2"/>
    </row>
    <row r="74" spans="1:24" ht="12.75" x14ac:dyDescent="0.2">
      <c r="A74" s="17" t="s">
        <v>61</v>
      </c>
      <c r="B74" s="17" t="s">
        <v>145</v>
      </c>
      <c r="C74" s="9" t="s">
        <v>233</v>
      </c>
      <c r="D74" s="17" t="s">
        <v>180</v>
      </c>
      <c r="E74" s="17" t="s">
        <v>191</v>
      </c>
      <c r="F74" s="18">
        <v>4.8124815714099993</v>
      </c>
      <c r="G74" s="17" t="s">
        <v>195</v>
      </c>
      <c r="H74" s="25" t="s">
        <v>205</v>
      </c>
      <c r="I74" s="17" t="s">
        <v>239</v>
      </c>
      <c r="J74" s="17"/>
      <c r="K74" s="17" t="s">
        <v>239</v>
      </c>
      <c r="L74" s="17" t="s">
        <v>239</v>
      </c>
      <c r="M74" s="17" t="s">
        <v>239</v>
      </c>
      <c r="N74" s="17"/>
      <c r="O74" s="8" t="s">
        <v>240</v>
      </c>
      <c r="P74" s="24">
        <v>10</v>
      </c>
      <c r="Q74" s="19">
        <v>6</v>
      </c>
      <c r="R74" s="8">
        <v>5</v>
      </c>
      <c r="S74" s="8">
        <v>3</v>
      </c>
      <c r="T74" s="20">
        <v>14</v>
      </c>
      <c r="U74" s="21">
        <v>4</v>
      </c>
      <c r="V74" s="21">
        <v>2</v>
      </c>
      <c r="W74" s="4" t="s">
        <v>245</v>
      </c>
      <c r="X74" s="2"/>
    </row>
    <row r="75" spans="1:24" ht="12.75" x14ac:dyDescent="0.2">
      <c r="A75" s="17" t="s">
        <v>62</v>
      </c>
      <c r="B75" s="17" t="s">
        <v>146</v>
      </c>
      <c r="C75" s="17" t="s">
        <v>235</v>
      </c>
      <c r="D75" s="17" t="s">
        <v>180</v>
      </c>
      <c r="E75" s="17" t="s">
        <v>191</v>
      </c>
      <c r="F75" s="18">
        <v>13.5954246246</v>
      </c>
      <c r="G75" s="17" t="s">
        <v>195</v>
      </c>
      <c r="H75" s="25" t="s">
        <v>205</v>
      </c>
      <c r="I75" s="17" t="s">
        <v>239</v>
      </c>
      <c r="J75" s="17"/>
      <c r="K75" s="17"/>
      <c r="L75" s="17" t="s">
        <v>239</v>
      </c>
      <c r="M75" s="17"/>
      <c r="N75" s="17"/>
      <c r="O75" s="8" t="s">
        <v>240</v>
      </c>
      <c r="P75" s="24">
        <v>4</v>
      </c>
      <c r="Q75" s="19">
        <v>4</v>
      </c>
      <c r="R75" s="8">
        <v>1</v>
      </c>
      <c r="S75" s="8">
        <v>3</v>
      </c>
      <c r="T75" s="20">
        <v>8</v>
      </c>
      <c r="U75" s="21">
        <v>53</v>
      </c>
      <c r="V75" s="21">
        <v>26</v>
      </c>
      <c r="W75" s="4" t="s">
        <v>245</v>
      </c>
      <c r="X75" s="2"/>
    </row>
    <row r="76" spans="1:24" ht="12.75" x14ac:dyDescent="0.2">
      <c r="A76" s="17" t="s">
        <v>63</v>
      </c>
      <c r="B76" s="17" t="s">
        <v>147</v>
      </c>
      <c r="C76" s="9" t="s">
        <v>234</v>
      </c>
      <c r="D76" s="17" t="s">
        <v>180</v>
      </c>
      <c r="E76" s="17" t="s">
        <v>191</v>
      </c>
      <c r="F76" s="18">
        <v>6.4774185929599994</v>
      </c>
      <c r="G76" s="17" t="s">
        <v>195</v>
      </c>
      <c r="H76" s="25" t="s">
        <v>205</v>
      </c>
      <c r="I76" s="17" t="s">
        <v>239</v>
      </c>
      <c r="J76" s="17"/>
      <c r="K76" s="17"/>
      <c r="L76" s="17"/>
      <c r="M76" s="17" t="s">
        <v>239</v>
      </c>
      <c r="N76" s="17"/>
      <c r="O76" s="8" t="s">
        <v>240</v>
      </c>
      <c r="P76" s="24">
        <v>6</v>
      </c>
      <c r="Q76" s="19">
        <v>4</v>
      </c>
      <c r="R76" s="8">
        <v>1</v>
      </c>
      <c r="S76" s="8">
        <v>3</v>
      </c>
      <c r="T76" s="20">
        <v>8</v>
      </c>
      <c r="U76" s="21">
        <v>49</v>
      </c>
      <c r="V76" s="21">
        <v>25</v>
      </c>
      <c r="W76" s="4" t="s">
        <v>245</v>
      </c>
      <c r="X76" s="2"/>
    </row>
    <row r="77" spans="1:24" ht="12.75" x14ac:dyDescent="0.2">
      <c r="A77" s="17" t="s">
        <v>64</v>
      </c>
      <c r="B77" s="17" t="s">
        <v>148</v>
      </c>
      <c r="C77" s="17" t="s">
        <v>236</v>
      </c>
      <c r="D77" s="17" t="s">
        <v>181</v>
      </c>
      <c r="E77" s="17" t="s">
        <v>191</v>
      </c>
      <c r="F77" s="18">
        <v>27.761698043199999</v>
      </c>
      <c r="G77" s="17" t="s">
        <v>195</v>
      </c>
      <c r="H77" s="25" t="s">
        <v>205</v>
      </c>
      <c r="I77" s="17" t="s">
        <v>239</v>
      </c>
      <c r="J77" s="17"/>
      <c r="K77" s="17"/>
      <c r="L77" s="17" t="s">
        <v>239</v>
      </c>
      <c r="M77" s="17" t="s">
        <v>239</v>
      </c>
      <c r="N77" s="17"/>
      <c r="O77" s="8" t="s">
        <v>240</v>
      </c>
      <c r="P77" s="24">
        <v>8</v>
      </c>
      <c r="Q77" s="19">
        <v>5</v>
      </c>
      <c r="R77" s="8">
        <v>5</v>
      </c>
      <c r="S77" s="8">
        <v>3</v>
      </c>
      <c r="T77" s="20">
        <v>13</v>
      </c>
      <c r="U77" s="21">
        <v>18</v>
      </c>
      <c r="V77" s="21">
        <v>10</v>
      </c>
      <c r="W77" s="4" t="s">
        <v>244</v>
      </c>
      <c r="X77" s="2"/>
    </row>
    <row r="78" spans="1:24" ht="12.75" x14ac:dyDescent="0.2">
      <c r="A78" s="25" t="s">
        <v>282</v>
      </c>
      <c r="B78" s="25" t="s">
        <v>283</v>
      </c>
      <c r="C78" s="25"/>
      <c r="D78" s="17" t="s">
        <v>181</v>
      </c>
      <c r="E78" s="26" t="s">
        <v>191</v>
      </c>
      <c r="F78" s="18">
        <v>12.9</v>
      </c>
      <c r="G78" s="25" t="s">
        <v>195</v>
      </c>
      <c r="H78" s="25" t="s">
        <v>205</v>
      </c>
      <c r="I78" s="17" t="s">
        <v>239</v>
      </c>
      <c r="J78" s="25"/>
      <c r="K78" s="25"/>
      <c r="L78" s="25"/>
      <c r="M78" s="25"/>
      <c r="N78" s="25"/>
      <c r="O78" s="8" t="s">
        <v>240</v>
      </c>
      <c r="P78" s="24">
        <v>1</v>
      </c>
      <c r="Q78" s="19">
        <v>3</v>
      </c>
      <c r="R78" s="8">
        <v>1</v>
      </c>
      <c r="S78" s="8">
        <v>1</v>
      </c>
      <c r="T78" s="20">
        <v>5</v>
      </c>
      <c r="U78" s="21">
        <v>84</v>
      </c>
      <c r="V78" s="21">
        <v>31</v>
      </c>
      <c r="W78" s="4" t="s">
        <v>245</v>
      </c>
      <c r="X78" s="2"/>
    </row>
    <row r="79" spans="1:24" ht="12.75" x14ac:dyDescent="0.2">
      <c r="A79" s="17" t="s">
        <v>65</v>
      </c>
      <c r="B79" s="17" t="s">
        <v>149</v>
      </c>
      <c r="C79" s="9" t="s">
        <v>202</v>
      </c>
      <c r="D79" s="17" t="s">
        <v>181</v>
      </c>
      <c r="E79" s="17" t="s">
        <v>191</v>
      </c>
      <c r="F79" s="18">
        <v>6.31356638922</v>
      </c>
      <c r="G79" s="17" t="s">
        <v>195</v>
      </c>
      <c r="H79" s="25" t="s">
        <v>205</v>
      </c>
      <c r="I79" s="17"/>
      <c r="J79" s="17"/>
      <c r="K79" s="17"/>
      <c r="L79" s="17"/>
      <c r="M79" s="17" t="s">
        <v>239</v>
      </c>
      <c r="N79" s="17"/>
      <c r="O79" s="8" t="s">
        <v>240</v>
      </c>
      <c r="P79" s="24">
        <v>4</v>
      </c>
      <c r="Q79" s="19">
        <v>4</v>
      </c>
      <c r="R79" s="8">
        <v>5</v>
      </c>
      <c r="S79" s="8">
        <v>3</v>
      </c>
      <c r="T79" s="20">
        <v>12</v>
      </c>
      <c r="U79" s="21">
        <v>24</v>
      </c>
      <c r="V79" s="21">
        <v>13</v>
      </c>
      <c r="W79" s="4" t="s">
        <v>245</v>
      </c>
      <c r="X79" s="2"/>
    </row>
    <row r="80" spans="1:24" ht="12.75" x14ac:dyDescent="0.2">
      <c r="A80" s="17" t="s">
        <v>66</v>
      </c>
      <c r="B80" s="17" t="s">
        <v>150</v>
      </c>
      <c r="C80" s="9" t="s">
        <v>202</v>
      </c>
      <c r="D80" s="17" t="s">
        <v>181</v>
      </c>
      <c r="E80" s="17" t="s">
        <v>191</v>
      </c>
      <c r="F80" s="18">
        <v>5.34182334622</v>
      </c>
      <c r="G80" s="17" t="s">
        <v>195</v>
      </c>
      <c r="H80" s="25" t="s">
        <v>205</v>
      </c>
      <c r="I80" s="17"/>
      <c r="J80" s="17"/>
      <c r="K80" s="17"/>
      <c r="L80" s="17"/>
      <c r="M80" s="17" t="s">
        <v>239</v>
      </c>
      <c r="N80" s="17"/>
      <c r="O80" s="8" t="s">
        <v>240</v>
      </c>
      <c r="P80" s="24">
        <v>5</v>
      </c>
      <c r="Q80" s="19">
        <v>4</v>
      </c>
      <c r="R80" s="8">
        <v>2</v>
      </c>
      <c r="S80" s="8">
        <v>3</v>
      </c>
      <c r="T80" s="20">
        <v>9</v>
      </c>
      <c r="U80" s="21">
        <v>46</v>
      </c>
      <c r="V80" s="21">
        <v>23</v>
      </c>
      <c r="W80" s="4" t="s">
        <v>245</v>
      </c>
      <c r="X80" s="2"/>
    </row>
    <row r="81" spans="1:24" ht="12.75" x14ac:dyDescent="0.2">
      <c r="A81" s="17" t="s">
        <v>67</v>
      </c>
      <c r="B81" s="17" t="s">
        <v>151</v>
      </c>
      <c r="C81" s="9" t="s">
        <v>228</v>
      </c>
      <c r="D81" s="17" t="s">
        <v>181</v>
      </c>
      <c r="E81" s="17" t="s">
        <v>191</v>
      </c>
      <c r="F81" s="18">
        <v>10.0365782277</v>
      </c>
      <c r="G81" s="17" t="s">
        <v>195</v>
      </c>
      <c r="H81" s="25" t="s">
        <v>205</v>
      </c>
      <c r="I81" s="17" t="s">
        <v>239</v>
      </c>
      <c r="J81" s="17"/>
      <c r="K81" s="17" t="s">
        <v>239</v>
      </c>
      <c r="L81" s="17" t="s">
        <v>239</v>
      </c>
      <c r="M81" s="17" t="s">
        <v>239</v>
      </c>
      <c r="N81" s="17"/>
      <c r="O81" s="8" t="s">
        <v>240</v>
      </c>
      <c r="P81" s="24">
        <v>7</v>
      </c>
      <c r="Q81" s="19">
        <v>5</v>
      </c>
      <c r="R81" s="8">
        <v>2</v>
      </c>
      <c r="S81" s="8">
        <v>2</v>
      </c>
      <c r="T81" s="20">
        <v>9</v>
      </c>
      <c r="U81" s="21">
        <v>39</v>
      </c>
      <c r="V81" s="21">
        <v>20</v>
      </c>
      <c r="W81" s="4" t="s">
        <v>245</v>
      </c>
      <c r="X81" s="2"/>
    </row>
    <row r="82" spans="1:24" s="4" customFormat="1" ht="12.75" x14ac:dyDescent="0.2">
      <c r="A82" s="17" t="s">
        <v>68</v>
      </c>
      <c r="B82" s="17" t="s">
        <v>152</v>
      </c>
      <c r="C82" s="9" t="s">
        <v>232</v>
      </c>
      <c r="D82" s="17" t="s">
        <v>180</v>
      </c>
      <c r="E82" s="17" t="s">
        <v>191</v>
      </c>
      <c r="F82" s="18">
        <v>24.116160011600002</v>
      </c>
      <c r="G82" s="17" t="s">
        <v>195</v>
      </c>
      <c r="H82" s="25" t="s">
        <v>205</v>
      </c>
      <c r="I82" s="17" t="s">
        <v>239</v>
      </c>
      <c r="J82" s="17"/>
      <c r="K82" s="17" t="s">
        <v>239</v>
      </c>
      <c r="L82" s="17" t="s">
        <v>239</v>
      </c>
      <c r="M82" s="17" t="s">
        <v>239</v>
      </c>
      <c r="N82" s="17"/>
      <c r="O82" s="8" t="s">
        <v>240</v>
      </c>
      <c r="P82" s="24">
        <v>9</v>
      </c>
      <c r="Q82" s="19">
        <v>6</v>
      </c>
      <c r="R82" s="8">
        <v>5</v>
      </c>
      <c r="S82" s="8">
        <v>3</v>
      </c>
      <c r="T82" s="20">
        <v>14</v>
      </c>
      <c r="U82" s="21">
        <v>9</v>
      </c>
      <c r="V82" s="21">
        <v>5</v>
      </c>
      <c r="W82" s="4" t="s">
        <v>245</v>
      </c>
    </row>
    <row r="83" spans="1:24" s="4" customFormat="1" ht="12.75" x14ac:dyDescent="0.2">
      <c r="A83" s="17" t="s">
        <v>69</v>
      </c>
      <c r="B83" s="17" t="s">
        <v>153</v>
      </c>
      <c r="C83" s="9" t="s">
        <v>232</v>
      </c>
      <c r="D83" s="17" t="s">
        <v>180</v>
      </c>
      <c r="E83" s="17" t="s">
        <v>191</v>
      </c>
      <c r="F83" s="18">
        <v>7.9487563549400004</v>
      </c>
      <c r="G83" s="17" t="s">
        <v>195</v>
      </c>
      <c r="H83" s="25" t="s">
        <v>205</v>
      </c>
      <c r="I83" s="17" t="s">
        <v>239</v>
      </c>
      <c r="J83" s="17"/>
      <c r="K83" s="17" t="s">
        <v>239</v>
      </c>
      <c r="L83" s="17" t="s">
        <v>239</v>
      </c>
      <c r="M83" s="17" t="s">
        <v>239</v>
      </c>
      <c r="N83" s="17"/>
      <c r="O83" s="8" t="s">
        <v>240</v>
      </c>
      <c r="P83" s="24">
        <v>8</v>
      </c>
      <c r="Q83" s="19">
        <v>5</v>
      </c>
      <c r="R83" s="8">
        <v>5</v>
      </c>
      <c r="S83" s="8">
        <v>2</v>
      </c>
      <c r="T83" s="20">
        <v>12</v>
      </c>
      <c r="U83" s="21">
        <v>21</v>
      </c>
      <c r="V83" s="21">
        <v>11</v>
      </c>
      <c r="W83" s="4" t="s">
        <v>245</v>
      </c>
    </row>
    <row r="84" spans="1:24" s="4" customFormat="1" ht="12.75" x14ac:dyDescent="0.2">
      <c r="A84" s="17" t="s">
        <v>70</v>
      </c>
      <c r="B84" s="17" t="s">
        <v>154</v>
      </c>
      <c r="C84" s="9" t="s">
        <v>232</v>
      </c>
      <c r="D84" s="17" t="s">
        <v>180</v>
      </c>
      <c r="E84" s="17" t="s">
        <v>191</v>
      </c>
      <c r="F84" s="18">
        <v>20.1205136747</v>
      </c>
      <c r="G84" s="17" t="s">
        <v>195</v>
      </c>
      <c r="H84" s="25" t="s">
        <v>205</v>
      </c>
      <c r="I84" s="17"/>
      <c r="J84" s="17"/>
      <c r="K84" s="17"/>
      <c r="L84" s="17"/>
      <c r="M84" s="17" t="s">
        <v>239</v>
      </c>
      <c r="N84" s="17"/>
      <c r="O84" s="8" t="s">
        <v>240</v>
      </c>
      <c r="P84" s="24">
        <v>7</v>
      </c>
      <c r="Q84" s="19">
        <v>5</v>
      </c>
      <c r="R84" s="8">
        <v>2</v>
      </c>
      <c r="S84" s="8">
        <v>3</v>
      </c>
      <c r="T84" s="20">
        <v>10</v>
      </c>
      <c r="U84" s="21">
        <v>37</v>
      </c>
      <c r="V84" s="21">
        <v>19</v>
      </c>
      <c r="W84" s="4" t="s">
        <v>244</v>
      </c>
    </row>
    <row r="85" spans="1:24" s="4" customFormat="1" ht="12.75" x14ac:dyDescent="0.2">
      <c r="A85" s="17" t="s">
        <v>71</v>
      </c>
      <c r="B85" s="17" t="s">
        <v>155</v>
      </c>
      <c r="C85" s="9" t="s">
        <v>232</v>
      </c>
      <c r="D85" s="17" t="s">
        <v>180</v>
      </c>
      <c r="E85" s="17" t="s">
        <v>191</v>
      </c>
      <c r="F85" s="18">
        <v>2.4520588442600002</v>
      </c>
      <c r="G85" s="17" t="s">
        <v>195</v>
      </c>
      <c r="H85" s="25" t="s">
        <v>205</v>
      </c>
      <c r="I85" s="17" t="s">
        <v>239</v>
      </c>
      <c r="J85" s="17"/>
      <c r="K85" s="17"/>
      <c r="L85" s="17" t="s">
        <v>239</v>
      </c>
      <c r="M85" s="17" t="s">
        <v>239</v>
      </c>
      <c r="N85" s="17"/>
      <c r="O85" s="8" t="s">
        <v>240</v>
      </c>
      <c r="P85" s="24">
        <v>7</v>
      </c>
      <c r="Q85" s="19">
        <v>5</v>
      </c>
      <c r="R85" s="8">
        <v>5</v>
      </c>
      <c r="S85" s="8">
        <v>0</v>
      </c>
      <c r="T85" s="20">
        <v>10</v>
      </c>
      <c r="U85" s="21">
        <v>32</v>
      </c>
      <c r="V85" s="21">
        <v>16</v>
      </c>
      <c r="W85" s="4" t="s">
        <v>244</v>
      </c>
    </row>
    <row r="86" spans="1:24" s="4" customFormat="1" ht="12.75" x14ac:dyDescent="0.2">
      <c r="A86" s="17" t="s">
        <v>72</v>
      </c>
      <c r="B86" s="17" t="s">
        <v>156</v>
      </c>
      <c r="C86" s="9" t="s">
        <v>232</v>
      </c>
      <c r="D86" s="17" t="s">
        <v>180</v>
      </c>
      <c r="E86" s="17" t="s">
        <v>191</v>
      </c>
      <c r="F86" s="18">
        <v>15.761733512799999</v>
      </c>
      <c r="G86" s="17" t="s">
        <v>195</v>
      </c>
      <c r="H86" s="25" t="s">
        <v>205</v>
      </c>
      <c r="I86" s="17" t="s">
        <v>239</v>
      </c>
      <c r="J86" s="17"/>
      <c r="K86" s="17" t="s">
        <v>239</v>
      </c>
      <c r="L86" s="17" t="s">
        <v>239</v>
      </c>
      <c r="M86" s="17" t="s">
        <v>239</v>
      </c>
      <c r="N86" s="17"/>
      <c r="O86" s="8" t="s">
        <v>240</v>
      </c>
      <c r="P86" s="24">
        <v>10</v>
      </c>
      <c r="Q86" s="19">
        <v>6</v>
      </c>
      <c r="R86" s="8">
        <v>5</v>
      </c>
      <c r="S86" s="8">
        <v>3</v>
      </c>
      <c r="T86" s="20">
        <v>14</v>
      </c>
      <c r="U86" s="21">
        <v>4</v>
      </c>
      <c r="V86" s="21">
        <v>2</v>
      </c>
      <c r="W86" s="4" t="s">
        <v>244</v>
      </c>
    </row>
    <row r="87" spans="1:24" s="4" customFormat="1" ht="12.75" x14ac:dyDescent="0.2">
      <c r="A87" s="17" t="s">
        <v>73</v>
      </c>
      <c r="B87" s="17" t="s">
        <v>157</v>
      </c>
      <c r="C87" s="9" t="s">
        <v>232</v>
      </c>
      <c r="D87" s="17" t="s">
        <v>180</v>
      </c>
      <c r="E87" s="17" t="s">
        <v>191</v>
      </c>
      <c r="F87" s="18">
        <v>13.410520718300001</v>
      </c>
      <c r="G87" s="17" t="s">
        <v>195</v>
      </c>
      <c r="H87" s="25" t="s">
        <v>205</v>
      </c>
      <c r="I87" s="17" t="s">
        <v>239</v>
      </c>
      <c r="J87" s="17"/>
      <c r="K87" s="17" t="s">
        <v>239</v>
      </c>
      <c r="L87" s="17" t="s">
        <v>239</v>
      </c>
      <c r="M87" s="17" t="s">
        <v>239</v>
      </c>
      <c r="N87" s="17"/>
      <c r="O87" s="8" t="s">
        <v>240</v>
      </c>
      <c r="P87" s="24">
        <v>9</v>
      </c>
      <c r="Q87" s="19">
        <v>6</v>
      </c>
      <c r="R87" s="8">
        <v>5</v>
      </c>
      <c r="S87" s="8">
        <v>3</v>
      </c>
      <c r="T87" s="20">
        <v>14</v>
      </c>
      <c r="U87" s="21">
        <v>9</v>
      </c>
      <c r="V87" s="21">
        <v>5</v>
      </c>
      <c r="W87" s="4" t="s">
        <v>245</v>
      </c>
    </row>
    <row r="88" spans="1:24" s="4" customFormat="1" ht="12.75" x14ac:dyDescent="0.2">
      <c r="A88" s="17" t="s">
        <v>74</v>
      </c>
      <c r="B88" s="17" t="s">
        <v>158</v>
      </c>
      <c r="C88" s="9" t="s">
        <v>232</v>
      </c>
      <c r="D88" s="17" t="s">
        <v>180</v>
      </c>
      <c r="E88" s="17" t="s">
        <v>191</v>
      </c>
      <c r="F88" s="18">
        <v>8.3727731639999998</v>
      </c>
      <c r="G88" s="17" t="s">
        <v>195</v>
      </c>
      <c r="H88" s="25" t="s">
        <v>205</v>
      </c>
      <c r="I88" s="17" t="s">
        <v>239</v>
      </c>
      <c r="J88" s="17"/>
      <c r="K88" s="17"/>
      <c r="L88" s="17"/>
      <c r="M88" s="17" t="s">
        <v>239</v>
      </c>
      <c r="N88" s="17"/>
      <c r="O88" s="8" t="s">
        <v>240</v>
      </c>
      <c r="P88" s="24">
        <v>10</v>
      </c>
      <c r="Q88" s="19">
        <v>6</v>
      </c>
      <c r="R88" s="8">
        <v>5</v>
      </c>
      <c r="S88" s="8">
        <v>3</v>
      </c>
      <c r="T88" s="20">
        <v>14</v>
      </c>
      <c r="U88" s="21">
        <v>4</v>
      </c>
      <c r="V88" s="21">
        <v>2</v>
      </c>
      <c r="W88" s="4" t="s">
        <v>244</v>
      </c>
    </row>
    <row r="89" spans="1:24" s="4" customFormat="1" ht="12.75" x14ac:dyDescent="0.2">
      <c r="A89" s="17" t="s">
        <v>75</v>
      </c>
      <c r="B89" s="17" t="s">
        <v>159</v>
      </c>
      <c r="C89" s="9" t="s">
        <v>232</v>
      </c>
      <c r="D89" s="17" t="s">
        <v>180</v>
      </c>
      <c r="E89" s="17" t="s">
        <v>191</v>
      </c>
      <c r="F89" s="18">
        <v>9.4294801129600003</v>
      </c>
      <c r="G89" s="17" t="s">
        <v>195</v>
      </c>
      <c r="H89" s="25" t="s">
        <v>205</v>
      </c>
      <c r="I89" s="17"/>
      <c r="J89" s="17"/>
      <c r="K89" s="17"/>
      <c r="L89" s="17"/>
      <c r="M89" s="17" t="s">
        <v>239</v>
      </c>
      <c r="N89" s="17"/>
      <c r="O89" s="8" t="s">
        <v>240</v>
      </c>
      <c r="P89" s="24">
        <v>8</v>
      </c>
      <c r="Q89" s="19">
        <v>5</v>
      </c>
      <c r="R89" s="8">
        <v>1</v>
      </c>
      <c r="S89" s="8">
        <v>3</v>
      </c>
      <c r="T89" s="20">
        <v>9</v>
      </c>
      <c r="U89" s="21">
        <v>40</v>
      </c>
      <c r="V89" s="21">
        <v>21</v>
      </c>
      <c r="W89" s="4" t="s">
        <v>244</v>
      </c>
    </row>
    <row r="90" spans="1:24" s="4" customFormat="1" ht="12.75" x14ac:dyDescent="0.2">
      <c r="A90" s="25" t="s">
        <v>284</v>
      </c>
      <c r="B90" s="25" t="s">
        <v>285</v>
      </c>
      <c r="C90" s="25"/>
      <c r="D90" s="25" t="s">
        <v>300</v>
      </c>
      <c r="E90" s="26" t="s">
        <v>191</v>
      </c>
      <c r="F90" s="18">
        <v>7.3</v>
      </c>
      <c r="G90" s="25" t="s">
        <v>196</v>
      </c>
      <c r="H90" s="25" t="s">
        <v>205</v>
      </c>
      <c r="I90" s="25"/>
      <c r="J90" s="25"/>
      <c r="K90" s="25"/>
      <c r="L90" s="25"/>
      <c r="M90" s="17" t="s">
        <v>239</v>
      </c>
      <c r="N90" s="25"/>
      <c r="O90" s="8" t="s">
        <v>240</v>
      </c>
      <c r="P90" s="24">
        <v>1</v>
      </c>
      <c r="Q90" s="19">
        <v>3</v>
      </c>
      <c r="R90" s="8">
        <v>1</v>
      </c>
      <c r="S90" s="8">
        <v>1</v>
      </c>
      <c r="T90" s="20">
        <v>5</v>
      </c>
      <c r="U90" s="21">
        <v>84</v>
      </c>
      <c r="V90" s="21">
        <v>31</v>
      </c>
      <c r="W90" s="4" t="s">
        <v>245</v>
      </c>
    </row>
    <row r="91" spans="1:24" s="4" customFormat="1" ht="12.75" x14ac:dyDescent="0.2">
      <c r="A91" s="25" t="s">
        <v>286</v>
      </c>
      <c r="B91" s="25" t="s">
        <v>287</v>
      </c>
      <c r="C91" s="25"/>
      <c r="D91" s="25" t="s">
        <v>182</v>
      </c>
      <c r="E91" s="26" t="s">
        <v>191</v>
      </c>
      <c r="F91" s="18">
        <v>14.8</v>
      </c>
      <c r="G91" s="25" t="s">
        <v>196</v>
      </c>
      <c r="H91" s="25" t="s">
        <v>205</v>
      </c>
      <c r="I91" s="17"/>
      <c r="J91" s="17" t="s">
        <v>239</v>
      </c>
      <c r="K91" s="25"/>
      <c r="L91" s="25"/>
      <c r="M91" s="25"/>
      <c r="N91" s="25"/>
      <c r="O91" s="8" t="s">
        <v>240</v>
      </c>
      <c r="P91" s="24">
        <v>1</v>
      </c>
      <c r="Q91" s="19">
        <v>3</v>
      </c>
      <c r="R91" s="8">
        <v>1</v>
      </c>
      <c r="S91" s="8">
        <v>1</v>
      </c>
      <c r="T91" s="20">
        <v>5</v>
      </c>
      <c r="U91" s="21">
        <v>84</v>
      </c>
      <c r="V91" s="21">
        <v>31</v>
      </c>
      <c r="W91" s="4" t="s">
        <v>245</v>
      </c>
    </row>
    <row r="92" spans="1:24" s="4" customFormat="1" ht="12.75" x14ac:dyDescent="0.2">
      <c r="A92" s="25" t="s">
        <v>288</v>
      </c>
      <c r="B92" s="25" t="s">
        <v>289</v>
      </c>
      <c r="C92" s="25"/>
      <c r="D92" s="25" t="s">
        <v>182</v>
      </c>
      <c r="E92" s="26" t="s">
        <v>191</v>
      </c>
      <c r="F92" s="18">
        <v>9.3000000000000007</v>
      </c>
      <c r="G92" s="25" t="s">
        <v>196</v>
      </c>
      <c r="H92" s="25" t="s">
        <v>205</v>
      </c>
      <c r="I92" s="25"/>
      <c r="J92" s="17" t="s">
        <v>239</v>
      </c>
      <c r="K92" s="25"/>
      <c r="L92" s="25"/>
      <c r="M92" s="17" t="s">
        <v>239</v>
      </c>
      <c r="N92" s="25"/>
      <c r="O92" s="8" t="s">
        <v>240</v>
      </c>
      <c r="P92" s="24">
        <v>2</v>
      </c>
      <c r="Q92" s="19">
        <v>3</v>
      </c>
      <c r="R92" s="8">
        <v>1</v>
      </c>
      <c r="S92" s="8">
        <v>1</v>
      </c>
      <c r="T92" s="20">
        <v>5</v>
      </c>
      <c r="U92" s="21">
        <v>75</v>
      </c>
      <c r="V92" s="21">
        <v>30</v>
      </c>
      <c r="W92" s="4" t="s">
        <v>245</v>
      </c>
    </row>
    <row r="93" spans="1:24" s="4" customFormat="1" ht="12.75" x14ac:dyDescent="0.2">
      <c r="A93" s="25" t="s">
        <v>290</v>
      </c>
      <c r="B93" s="25" t="s">
        <v>291</v>
      </c>
      <c r="C93" s="25"/>
      <c r="D93" s="25" t="s">
        <v>182</v>
      </c>
      <c r="E93" s="26" t="s">
        <v>191</v>
      </c>
      <c r="F93" s="18">
        <v>20.2</v>
      </c>
      <c r="G93" s="25" t="s">
        <v>196</v>
      </c>
      <c r="H93" s="25" t="s">
        <v>205</v>
      </c>
      <c r="I93" s="25"/>
      <c r="J93" s="17" t="s">
        <v>239</v>
      </c>
      <c r="K93" s="25"/>
      <c r="L93" s="25"/>
      <c r="M93" s="25"/>
      <c r="N93" s="25"/>
      <c r="O93" s="8" t="s">
        <v>240</v>
      </c>
      <c r="P93" s="24">
        <v>1</v>
      </c>
      <c r="Q93" s="19">
        <v>3</v>
      </c>
      <c r="R93" s="8">
        <v>1</v>
      </c>
      <c r="S93" s="8">
        <v>1</v>
      </c>
      <c r="T93" s="20">
        <v>5</v>
      </c>
      <c r="U93" s="21">
        <v>84</v>
      </c>
      <c r="V93" s="21">
        <v>31</v>
      </c>
      <c r="W93" s="4" t="s">
        <v>245</v>
      </c>
    </row>
    <row r="94" spans="1:24" s="4" customFormat="1" ht="12.75" x14ac:dyDescent="0.2">
      <c r="A94" s="7" t="s">
        <v>247</v>
      </c>
      <c r="B94" s="7" t="s">
        <v>255</v>
      </c>
      <c r="C94" s="5" t="s">
        <v>237</v>
      </c>
      <c r="D94" s="3" t="s">
        <v>182</v>
      </c>
      <c r="E94" s="17" t="s">
        <v>192</v>
      </c>
      <c r="F94" s="2">
        <v>7.5</v>
      </c>
      <c r="G94" s="3" t="s">
        <v>196</v>
      </c>
      <c r="H94" s="25" t="s">
        <v>205</v>
      </c>
      <c r="I94" s="17" t="s">
        <v>239</v>
      </c>
      <c r="J94" s="3"/>
      <c r="K94" s="3"/>
      <c r="L94" s="3"/>
      <c r="M94" s="17" t="s">
        <v>239</v>
      </c>
      <c r="N94" s="3"/>
      <c r="O94" s="8" t="s">
        <v>240</v>
      </c>
      <c r="P94" s="24">
        <v>1</v>
      </c>
      <c r="Q94" s="19">
        <v>3</v>
      </c>
      <c r="R94" s="8">
        <v>1</v>
      </c>
      <c r="S94" s="8">
        <v>1</v>
      </c>
      <c r="T94" s="20">
        <v>5</v>
      </c>
      <c r="U94" s="21">
        <v>84</v>
      </c>
      <c r="V94" s="4">
        <v>4</v>
      </c>
      <c r="W94" s="4" t="s">
        <v>245</v>
      </c>
    </row>
    <row r="95" spans="1:24" ht="12.75" x14ac:dyDescent="0.2">
      <c r="A95" s="17" t="s">
        <v>76</v>
      </c>
      <c r="B95" s="17" t="s">
        <v>161</v>
      </c>
      <c r="C95" s="9" t="s">
        <v>238</v>
      </c>
      <c r="D95" s="17" t="s">
        <v>184</v>
      </c>
      <c r="E95" s="17" t="s">
        <v>192</v>
      </c>
      <c r="F95" s="18">
        <v>14.3487412725</v>
      </c>
      <c r="G95" s="17" t="s">
        <v>253</v>
      </c>
      <c r="H95" s="25" t="s">
        <v>205</v>
      </c>
      <c r="I95" s="17" t="s">
        <v>239</v>
      </c>
      <c r="J95" s="17"/>
      <c r="K95" s="17"/>
      <c r="L95" s="17"/>
      <c r="M95" s="17" t="s">
        <v>239</v>
      </c>
      <c r="N95" s="17"/>
      <c r="O95" s="8" t="s">
        <v>240</v>
      </c>
      <c r="P95" s="24">
        <v>8</v>
      </c>
      <c r="Q95" s="19">
        <v>5</v>
      </c>
      <c r="R95" s="8">
        <v>1</v>
      </c>
      <c r="S95" s="8">
        <v>3</v>
      </c>
      <c r="T95" s="20">
        <v>9</v>
      </c>
      <c r="U95" s="21">
        <v>40</v>
      </c>
      <c r="V95" s="21">
        <v>2</v>
      </c>
      <c r="W95" s="4" t="s">
        <v>244</v>
      </c>
      <c r="X95" s="2"/>
    </row>
    <row r="96" spans="1:24" ht="12.75" x14ac:dyDescent="0.2">
      <c r="A96" s="17" t="s">
        <v>77</v>
      </c>
      <c r="B96" s="17" t="s">
        <v>162</v>
      </c>
      <c r="C96" s="9" t="s">
        <v>203</v>
      </c>
      <c r="D96" s="17" t="s">
        <v>183</v>
      </c>
      <c r="E96" s="17" t="s">
        <v>192</v>
      </c>
      <c r="F96" s="18">
        <v>8.895157427800001</v>
      </c>
      <c r="G96" s="17" t="s">
        <v>253</v>
      </c>
      <c r="H96" s="25" t="s">
        <v>205</v>
      </c>
      <c r="I96" s="17" t="s">
        <v>239</v>
      </c>
      <c r="J96" s="17"/>
      <c r="K96" s="17"/>
      <c r="L96" s="17"/>
      <c r="M96" s="17" t="s">
        <v>239</v>
      </c>
      <c r="N96" s="17"/>
      <c r="O96" s="8" t="s">
        <v>240</v>
      </c>
      <c r="P96" s="24">
        <v>10</v>
      </c>
      <c r="Q96" s="19">
        <v>6</v>
      </c>
      <c r="R96" s="8">
        <v>2</v>
      </c>
      <c r="S96" s="8">
        <v>3</v>
      </c>
      <c r="T96" s="20">
        <v>11</v>
      </c>
      <c r="U96" s="21">
        <v>25</v>
      </c>
      <c r="V96" s="21">
        <v>1</v>
      </c>
      <c r="W96" s="4" t="s">
        <v>244</v>
      </c>
      <c r="X96" s="2"/>
    </row>
    <row r="97" spans="1:24" ht="12.75" x14ac:dyDescent="0.2">
      <c r="A97" s="17" t="s">
        <v>78</v>
      </c>
      <c r="B97" s="17" t="s">
        <v>163</v>
      </c>
      <c r="C97" s="9" t="s">
        <v>203</v>
      </c>
      <c r="D97" s="17" t="s">
        <v>183</v>
      </c>
      <c r="E97" s="17" t="s">
        <v>192</v>
      </c>
      <c r="F97" s="18">
        <v>4.4978394228899994</v>
      </c>
      <c r="G97" s="17" t="s">
        <v>253</v>
      </c>
      <c r="H97" s="25" t="s">
        <v>205</v>
      </c>
      <c r="I97" s="17" t="s">
        <v>239</v>
      </c>
      <c r="J97" s="17"/>
      <c r="K97" s="17"/>
      <c r="L97" s="17"/>
      <c r="M97" s="17" t="s">
        <v>239</v>
      </c>
      <c r="N97" s="17"/>
      <c r="O97" s="8" t="s">
        <v>240</v>
      </c>
      <c r="P97" s="24">
        <v>7</v>
      </c>
      <c r="Q97" s="19">
        <v>5</v>
      </c>
      <c r="R97" s="8">
        <v>0</v>
      </c>
      <c r="S97" s="8">
        <v>0</v>
      </c>
      <c r="T97" s="20">
        <v>5</v>
      </c>
      <c r="U97" s="21">
        <v>70</v>
      </c>
      <c r="V97" s="21">
        <v>3</v>
      </c>
      <c r="W97" s="4" t="s">
        <v>244</v>
      </c>
      <c r="X97" s="2"/>
    </row>
    <row r="98" spans="1:24" ht="12.75" x14ac:dyDescent="0.2">
      <c r="A98" s="3" t="s">
        <v>248</v>
      </c>
      <c r="B98" s="3" t="s">
        <v>249</v>
      </c>
      <c r="C98" s="5" t="s">
        <v>203</v>
      </c>
      <c r="D98" s="3" t="s">
        <v>183</v>
      </c>
      <c r="E98" s="17" t="s">
        <v>192</v>
      </c>
      <c r="F98" s="6">
        <v>17.7</v>
      </c>
      <c r="G98" s="17" t="s">
        <v>253</v>
      </c>
      <c r="H98" s="25" t="s">
        <v>205</v>
      </c>
      <c r="I98" s="17"/>
      <c r="J98" s="17"/>
      <c r="K98" s="17"/>
      <c r="L98" s="17"/>
      <c r="M98" s="17" t="s">
        <v>239</v>
      </c>
      <c r="N98" s="17"/>
      <c r="O98" s="8" t="s">
        <v>240</v>
      </c>
      <c r="P98" s="24">
        <v>3</v>
      </c>
      <c r="Q98" s="19">
        <v>3</v>
      </c>
      <c r="R98" s="8">
        <v>0</v>
      </c>
      <c r="S98" s="8">
        <v>0</v>
      </c>
      <c r="T98" s="20">
        <v>3</v>
      </c>
      <c r="U98" s="21">
        <v>97</v>
      </c>
      <c r="V98" s="4">
        <v>5</v>
      </c>
      <c r="W98" s="4" t="s">
        <v>244</v>
      </c>
      <c r="X98" s="2"/>
    </row>
    <row r="99" spans="1:24" ht="12.75" x14ac:dyDescent="0.2">
      <c r="A99" s="17" t="s">
        <v>79</v>
      </c>
      <c r="B99" s="17" t="s">
        <v>165</v>
      </c>
      <c r="C99" s="9" t="s">
        <v>164</v>
      </c>
      <c r="D99" s="17" t="s">
        <v>185</v>
      </c>
      <c r="E99" s="17" t="s">
        <v>193</v>
      </c>
      <c r="F99" s="18">
        <v>19.433899353400001</v>
      </c>
      <c r="G99" s="17" t="s">
        <v>252</v>
      </c>
      <c r="H99" s="25" t="s">
        <v>205</v>
      </c>
      <c r="I99" s="17"/>
      <c r="J99" s="17"/>
      <c r="K99" s="17"/>
      <c r="L99" s="17" t="s">
        <v>239</v>
      </c>
      <c r="M99" s="17"/>
      <c r="N99" s="17"/>
      <c r="O99" s="8" t="s">
        <v>240</v>
      </c>
      <c r="P99" s="24">
        <v>3</v>
      </c>
      <c r="Q99" s="19">
        <v>3</v>
      </c>
      <c r="R99" s="8">
        <v>5</v>
      </c>
      <c r="S99" s="8">
        <v>3</v>
      </c>
      <c r="T99" s="20">
        <v>11</v>
      </c>
      <c r="U99" s="21">
        <v>27</v>
      </c>
      <c r="V99" s="21">
        <v>3</v>
      </c>
      <c r="W99" s="4" t="s">
        <v>244</v>
      </c>
      <c r="X99" s="2"/>
    </row>
    <row r="100" spans="1:24" ht="12.75" x14ac:dyDescent="0.2">
      <c r="A100" s="17" t="s">
        <v>80</v>
      </c>
      <c r="B100" s="17" t="s">
        <v>166</v>
      </c>
      <c r="C100" s="9" t="s">
        <v>212</v>
      </c>
      <c r="D100" s="17" t="s">
        <v>186</v>
      </c>
      <c r="E100" s="17" t="s">
        <v>193</v>
      </c>
      <c r="F100" s="18">
        <v>27.401960817800003</v>
      </c>
      <c r="G100" s="17" t="s">
        <v>252</v>
      </c>
      <c r="H100" s="25" t="s">
        <v>205</v>
      </c>
      <c r="I100" s="17" t="s">
        <v>239</v>
      </c>
      <c r="J100" s="17"/>
      <c r="K100" s="17"/>
      <c r="L100" s="17"/>
      <c r="M100" s="17"/>
      <c r="N100" s="17"/>
      <c r="O100" s="8" t="s">
        <v>240</v>
      </c>
      <c r="P100" s="24">
        <v>2</v>
      </c>
      <c r="Q100" s="19">
        <v>3</v>
      </c>
      <c r="R100" s="8">
        <v>1</v>
      </c>
      <c r="S100" s="8">
        <v>1</v>
      </c>
      <c r="T100" s="20">
        <v>5</v>
      </c>
      <c r="U100" s="21">
        <v>75</v>
      </c>
      <c r="V100" s="21">
        <v>4</v>
      </c>
      <c r="W100" s="4" t="s">
        <v>245</v>
      </c>
      <c r="X100" s="2"/>
    </row>
    <row r="101" spans="1:24" ht="12.75" x14ac:dyDescent="0.2">
      <c r="A101" s="17" t="s">
        <v>81</v>
      </c>
      <c r="B101" s="17" t="s">
        <v>167</v>
      </c>
      <c r="C101" s="9" t="s">
        <v>207</v>
      </c>
      <c r="D101" s="17" t="s">
        <v>187</v>
      </c>
      <c r="E101" s="17" t="s">
        <v>193</v>
      </c>
      <c r="F101" s="18">
        <v>33.161131942300003</v>
      </c>
      <c r="G101" s="17" t="s">
        <v>252</v>
      </c>
      <c r="H101" s="25" t="s">
        <v>205</v>
      </c>
      <c r="I101" s="17" t="s">
        <v>239</v>
      </c>
      <c r="J101" s="17" t="s">
        <v>239</v>
      </c>
      <c r="K101" s="17"/>
      <c r="L101" s="17"/>
      <c r="M101" s="17" t="s">
        <v>239</v>
      </c>
      <c r="N101" s="17"/>
      <c r="O101" s="8" t="s">
        <v>240</v>
      </c>
      <c r="P101" s="24">
        <v>7</v>
      </c>
      <c r="Q101" s="19">
        <v>5</v>
      </c>
      <c r="R101" s="8">
        <v>5</v>
      </c>
      <c r="S101" s="8">
        <v>3</v>
      </c>
      <c r="T101" s="20">
        <v>13</v>
      </c>
      <c r="U101" s="21">
        <v>19</v>
      </c>
      <c r="V101" s="21">
        <v>2</v>
      </c>
      <c r="W101" s="4" t="s">
        <v>243</v>
      </c>
      <c r="X101" s="2"/>
    </row>
    <row r="102" spans="1:24" ht="12.75" x14ac:dyDescent="0.2">
      <c r="A102" s="17" t="s">
        <v>82</v>
      </c>
      <c r="B102" s="17" t="s">
        <v>168</v>
      </c>
      <c r="C102" s="9" t="s">
        <v>207</v>
      </c>
      <c r="D102" s="17" t="s">
        <v>187</v>
      </c>
      <c r="E102" s="17" t="s">
        <v>193</v>
      </c>
      <c r="F102" s="18">
        <v>16.963174469800002</v>
      </c>
      <c r="G102" s="17" t="s">
        <v>252</v>
      </c>
      <c r="H102" s="25" t="s">
        <v>205</v>
      </c>
      <c r="I102" s="17" t="s">
        <v>239</v>
      </c>
      <c r="J102" s="17"/>
      <c r="K102" s="17"/>
      <c r="L102" s="17"/>
      <c r="M102" s="17" t="s">
        <v>239</v>
      </c>
      <c r="N102" s="17"/>
      <c r="O102" s="8" t="s">
        <v>240</v>
      </c>
      <c r="P102" s="24">
        <v>11</v>
      </c>
      <c r="Q102" s="19">
        <v>7</v>
      </c>
      <c r="R102" s="8">
        <v>5</v>
      </c>
      <c r="S102" s="8">
        <v>3</v>
      </c>
      <c r="T102" s="20">
        <v>15</v>
      </c>
      <c r="U102" s="21">
        <v>3</v>
      </c>
      <c r="V102" s="21">
        <v>1</v>
      </c>
      <c r="W102" s="4" t="s">
        <v>243</v>
      </c>
      <c r="X102" s="2"/>
    </row>
    <row r="103" spans="1:24" ht="12.75" x14ac:dyDescent="0.2">
      <c r="A103" s="17" t="s">
        <v>83</v>
      </c>
      <c r="B103" s="17" t="s">
        <v>169</v>
      </c>
      <c r="C103" s="9" t="s">
        <v>207</v>
      </c>
      <c r="D103" s="17" t="s">
        <v>187</v>
      </c>
      <c r="E103" s="17" t="s">
        <v>193</v>
      </c>
      <c r="F103" s="18">
        <v>13.743689961300001</v>
      </c>
      <c r="G103" s="17" t="s">
        <v>252</v>
      </c>
      <c r="H103" s="25" t="s">
        <v>205</v>
      </c>
      <c r="I103" s="17"/>
      <c r="J103" s="17"/>
      <c r="K103" s="17"/>
      <c r="L103" s="17"/>
      <c r="M103" s="17" t="s">
        <v>239</v>
      </c>
      <c r="N103" s="17"/>
      <c r="O103" s="8" t="s">
        <v>240</v>
      </c>
      <c r="P103" s="24">
        <v>3</v>
      </c>
      <c r="Q103" s="19">
        <v>3</v>
      </c>
      <c r="R103" s="8">
        <v>1</v>
      </c>
      <c r="S103" s="8">
        <v>0</v>
      </c>
      <c r="T103" s="20">
        <v>4</v>
      </c>
      <c r="U103" s="21">
        <v>93</v>
      </c>
      <c r="V103" s="21">
        <v>5</v>
      </c>
      <c r="W103" s="4" t="s">
        <v>244</v>
      </c>
      <c r="X103" s="2"/>
    </row>
    <row r="104" spans="1:24" ht="12.75" x14ac:dyDescent="0.2">
      <c r="A104" s="17" t="s">
        <v>256</v>
      </c>
      <c r="B104" s="17" t="s">
        <v>257</v>
      </c>
      <c r="C104" s="9" t="s">
        <v>207</v>
      </c>
      <c r="D104" s="17" t="s">
        <v>187</v>
      </c>
      <c r="E104" s="17" t="s">
        <v>193</v>
      </c>
      <c r="F104" s="18"/>
      <c r="G104" s="17" t="s">
        <v>252</v>
      </c>
      <c r="H104" s="17" t="s">
        <v>246</v>
      </c>
      <c r="I104" s="17"/>
      <c r="J104" s="17"/>
      <c r="K104" s="17"/>
      <c r="L104" s="17"/>
      <c r="M104" s="17"/>
      <c r="N104" s="17"/>
      <c r="O104" s="8" t="s">
        <v>241</v>
      </c>
      <c r="P104" s="24">
        <v>1</v>
      </c>
      <c r="Q104" s="19">
        <v>3</v>
      </c>
      <c r="R104" s="8">
        <v>0</v>
      </c>
      <c r="S104" s="8">
        <v>0</v>
      </c>
      <c r="T104" s="20">
        <v>3</v>
      </c>
      <c r="U104" s="21">
        <v>100</v>
      </c>
      <c r="V104" s="21">
        <v>6</v>
      </c>
      <c r="W104" s="4" t="s">
        <v>244</v>
      </c>
      <c r="X104" s="2"/>
    </row>
    <row r="105" spans="1:24" ht="12.75" x14ac:dyDescent="0.2">
      <c r="A105" s="36" t="s">
        <v>197</v>
      </c>
      <c r="B105" s="36"/>
      <c r="C105" s="10"/>
      <c r="D105" s="36"/>
      <c r="E105" s="36"/>
      <c r="F105" s="37">
        <f>SUBTOTAL(109,WAMM_May20173[Length_km])</f>
        <v>1492.2650915822694</v>
      </c>
      <c r="G105" s="36"/>
      <c r="H105" s="36"/>
      <c r="I105" s="36"/>
      <c r="J105" s="36"/>
      <c r="K105" s="36"/>
      <c r="L105" s="36"/>
      <c r="M105" s="36"/>
      <c r="N105" s="36"/>
      <c r="O105" s="8"/>
      <c r="P105" s="10"/>
      <c r="Q105" s="19"/>
      <c r="R105" s="8"/>
      <c r="S105" s="8"/>
      <c r="T105" s="19"/>
      <c r="U105" s="38"/>
      <c r="V105" s="38"/>
      <c r="W105" s="39"/>
      <c r="X105" s="2"/>
    </row>
    <row r="106" spans="1:24" x14ac:dyDescent="0.2">
      <c r="E106" s="3"/>
      <c r="F106" s="3"/>
      <c r="O106" s="5"/>
      <c r="P106" s="5"/>
      <c r="Q106" s="5"/>
      <c r="S106" s="5"/>
      <c r="T106" s="5"/>
    </row>
    <row r="107" spans="1:24" x14ac:dyDescent="0.2">
      <c r="E107" s="22"/>
      <c r="F107" s="22"/>
    </row>
  </sheetData>
  <sheetProtection selectLockedCells="1" selectUnlockedCells="1"/>
  <conditionalFormatting sqref="I3:J3">
    <cfRule type="containsText" dxfId="146" priority="100" operator="containsText" text="Fail">
      <formula>NOT(ISERROR(SEARCH("Fail",I3)))</formula>
    </cfRule>
  </conditionalFormatting>
  <conditionalFormatting sqref="M3">
    <cfRule type="containsText" dxfId="145" priority="99" operator="containsText" text="Fail">
      <formula>NOT(ISERROR(SEARCH("Fail",M3)))</formula>
    </cfRule>
  </conditionalFormatting>
  <conditionalFormatting sqref="J4">
    <cfRule type="containsText" dxfId="144" priority="98" operator="containsText" text="Fail">
      <formula>NOT(ISERROR(SEARCH("Fail",J4)))</formula>
    </cfRule>
  </conditionalFormatting>
  <conditionalFormatting sqref="I5">
    <cfRule type="containsText" dxfId="143" priority="97" operator="containsText" text="Fail">
      <formula>NOT(ISERROR(SEARCH("Fail",I5)))</formula>
    </cfRule>
  </conditionalFormatting>
  <conditionalFormatting sqref="J5">
    <cfRule type="containsText" dxfId="142" priority="96" operator="containsText" text="Fail">
      <formula>NOT(ISERROR(SEARCH("Fail",J5)))</formula>
    </cfRule>
  </conditionalFormatting>
  <conditionalFormatting sqref="M5">
    <cfRule type="containsText" dxfId="141" priority="95" operator="containsText" text="Fail">
      <formula>NOT(ISERROR(SEARCH("Fail",M5)))</formula>
    </cfRule>
  </conditionalFormatting>
  <conditionalFormatting sqref="M6 I6:J6">
    <cfRule type="containsText" dxfId="140" priority="94" operator="containsText" text="Fail">
      <formula>NOT(ISERROR(SEARCH("Fail",I6)))</formula>
    </cfRule>
  </conditionalFormatting>
  <conditionalFormatting sqref="M7 I7">
    <cfRule type="containsText" dxfId="139" priority="93" operator="containsText" text="Fail">
      <formula>NOT(ISERROR(SEARCH("Fail",I7)))</formula>
    </cfRule>
  </conditionalFormatting>
  <conditionalFormatting sqref="M8 I8">
    <cfRule type="containsText" dxfId="138" priority="92" operator="containsText" text="Fail">
      <formula>NOT(ISERROR(SEARCH("Fail",I8)))</formula>
    </cfRule>
  </conditionalFormatting>
  <conditionalFormatting sqref="M9 I9">
    <cfRule type="containsText" dxfId="137" priority="91" operator="containsText" text="Fail">
      <formula>NOT(ISERROR(SEARCH("Fail",I9)))</formula>
    </cfRule>
  </conditionalFormatting>
  <conditionalFormatting sqref="M10">
    <cfRule type="containsText" dxfId="136" priority="90" operator="containsText" text="Fail">
      <formula>NOT(ISERROR(SEARCH("Fail",M10)))</formula>
    </cfRule>
  </conditionalFormatting>
  <conditionalFormatting sqref="M11 I11">
    <cfRule type="containsText" dxfId="135" priority="89" operator="containsText" text="Fail">
      <formula>NOT(ISERROR(SEARCH("Fail",I11)))</formula>
    </cfRule>
  </conditionalFormatting>
  <conditionalFormatting sqref="M12 I12">
    <cfRule type="containsText" dxfId="134" priority="88" operator="containsText" text="Fail">
      <formula>NOT(ISERROR(SEARCH("Fail",I12)))</formula>
    </cfRule>
  </conditionalFormatting>
  <conditionalFormatting sqref="M13 I13">
    <cfRule type="containsText" dxfId="133" priority="87" operator="containsText" text="Fail">
      <formula>NOT(ISERROR(SEARCH("Fail",I13)))</formula>
    </cfRule>
  </conditionalFormatting>
  <conditionalFormatting sqref="M14 I14:J14">
    <cfRule type="containsText" dxfId="132" priority="86" operator="containsText" text="Fail">
      <formula>NOT(ISERROR(SEARCH("Fail",I14)))</formula>
    </cfRule>
  </conditionalFormatting>
  <conditionalFormatting sqref="M15">
    <cfRule type="containsText" dxfId="131" priority="85" operator="containsText" text="Fail">
      <formula>NOT(ISERROR(SEARCH("Fail",M15)))</formula>
    </cfRule>
  </conditionalFormatting>
  <conditionalFormatting sqref="M16 I16">
    <cfRule type="containsText" dxfId="130" priority="84" operator="containsText" text="Fail">
      <formula>NOT(ISERROR(SEARCH("Fail",I16)))</formula>
    </cfRule>
  </conditionalFormatting>
  <conditionalFormatting sqref="M17 I17">
    <cfRule type="containsText" dxfId="129" priority="83" operator="containsText" text="Fail">
      <formula>NOT(ISERROR(SEARCH("Fail",I17)))</formula>
    </cfRule>
  </conditionalFormatting>
  <conditionalFormatting sqref="M25">
    <cfRule type="containsText" dxfId="128" priority="75" operator="containsText" text="Fail">
      <formula>NOT(ISERROR(SEARCH("Fail",M25)))</formula>
    </cfRule>
  </conditionalFormatting>
  <conditionalFormatting sqref="M18 I18">
    <cfRule type="containsText" dxfId="127" priority="81" operator="containsText" text="Fail">
      <formula>NOT(ISERROR(SEARCH("Fail",I18)))</formula>
    </cfRule>
  </conditionalFormatting>
  <conditionalFormatting sqref="M19 I19:J19">
    <cfRule type="containsText" dxfId="126" priority="80" operator="containsText" text="Fail">
      <formula>NOT(ISERROR(SEARCH("Fail",I19)))</formula>
    </cfRule>
  </conditionalFormatting>
  <conditionalFormatting sqref="M20 I20">
    <cfRule type="containsText" dxfId="125" priority="79" operator="containsText" text="Fail">
      <formula>NOT(ISERROR(SEARCH("Fail",I20)))</formula>
    </cfRule>
  </conditionalFormatting>
  <conditionalFormatting sqref="M22 I22:J22">
    <cfRule type="containsText" dxfId="124" priority="78" operator="containsText" text="Fail">
      <formula>NOT(ISERROR(SEARCH("Fail",I22)))</formula>
    </cfRule>
  </conditionalFormatting>
  <conditionalFormatting sqref="J23">
    <cfRule type="containsText" dxfId="123" priority="77" operator="containsText" text="Fail">
      <formula>NOT(ISERROR(SEARCH("Fail",J23)))</formula>
    </cfRule>
  </conditionalFormatting>
  <conditionalFormatting sqref="M24 I24:J24">
    <cfRule type="containsText" dxfId="122" priority="76" operator="containsText" text="Fail">
      <formula>NOT(ISERROR(SEARCH("Fail",I24)))</formula>
    </cfRule>
  </conditionalFormatting>
  <conditionalFormatting sqref="M102 I102">
    <cfRule type="containsText" dxfId="121" priority="2" operator="containsText" text="Fail">
      <formula>NOT(ISERROR(SEARCH("Fail",I102)))</formula>
    </cfRule>
  </conditionalFormatting>
  <conditionalFormatting sqref="M26:M27 I26:J27">
    <cfRule type="containsText" dxfId="120" priority="74" operator="containsText" text="Fail">
      <formula>NOT(ISERROR(SEARCH("Fail",I26)))</formula>
    </cfRule>
  </conditionalFormatting>
  <conditionalFormatting sqref="M28 I28:J28">
    <cfRule type="containsText" dxfId="119" priority="73" operator="containsText" text="Fail">
      <formula>NOT(ISERROR(SEARCH("Fail",I28)))</formula>
    </cfRule>
  </conditionalFormatting>
  <conditionalFormatting sqref="M29 J29">
    <cfRule type="containsText" dxfId="118" priority="72" operator="containsText" text="Fail">
      <formula>NOT(ISERROR(SEARCH("Fail",J29)))</formula>
    </cfRule>
  </conditionalFormatting>
  <conditionalFormatting sqref="N30">
    <cfRule type="containsText" dxfId="117" priority="71" operator="containsText" text="Fail">
      <formula>NOT(ISERROR(SEARCH("Fail",N30)))</formula>
    </cfRule>
  </conditionalFormatting>
  <conditionalFormatting sqref="M103">
    <cfRule type="containsText" dxfId="116" priority="1" operator="containsText" text="Fail">
      <formula>NOT(ISERROR(SEARCH("Fail",M103)))</formula>
    </cfRule>
  </conditionalFormatting>
  <conditionalFormatting sqref="K31">
    <cfRule type="containsText" dxfId="115" priority="69" operator="containsText" text="Fail">
      <formula>NOT(ISERROR(SEARCH("Fail",K31)))</formula>
    </cfRule>
  </conditionalFormatting>
  <conditionalFormatting sqref="I33:J33">
    <cfRule type="containsText" dxfId="114" priority="68" operator="containsText" text="Fail">
      <formula>NOT(ISERROR(SEARCH("Fail",I33)))</formula>
    </cfRule>
  </conditionalFormatting>
  <conditionalFormatting sqref="M34 I34:J34">
    <cfRule type="containsText" dxfId="113" priority="67" operator="containsText" text="Fail">
      <formula>NOT(ISERROR(SEARCH("Fail",I34)))</formula>
    </cfRule>
  </conditionalFormatting>
  <conditionalFormatting sqref="M35 I35:J35">
    <cfRule type="containsText" dxfId="112" priority="66" operator="containsText" text="Fail">
      <formula>NOT(ISERROR(SEARCH("Fail",I35)))</formula>
    </cfRule>
  </conditionalFormatting>
  <conditionalFormatting sqref="M36 I36:J36">
    <cfRule type="containsText" dxfId="111" priority="65" operator="containsText" text="Fail">
      <formula>NOT(ISERROR(SEARCH("Fail",I36)))</formula>
    </cfRule>
  </conditionalFormatting>
  <conditionalFormatting sqref="I37:I39">
    <cfRule type="containsText" dxfId="110" priority="64" operator="containsText" text="Fail">
      <formula>NOT(ISERROR(SEARCH("Fail",I37)))</formula>
    </cfRule>
  </conditionalFormatting>
  <conditionalFormatting sqref="M40 I40:J40">
    <cfRule type="containsText" dxfId="109" priority="63" operator="containsText" text="Fail">
      <formula>NOT(ISERROR(SEARCH("Fail",I40)))</formula>
    </cfRule>
  </conditionalFormatting>
  <conditionalFormatting sqref="M41 I41:J41">
    <cfRule type="containsText" dxfId="108" priority="62" operator="containsText" text="Fail">
      <formula>NOT(ISERROR(SEARCH("Fail",I41)))</formula>
    </cfRule>
  </conditionalFormatting>
  <conditionalFormatting sqref="M42 I42">
    <cfRule type="containsText" dxfId="107" priority="61" operator="containsText" text="Fail">
      <formula>NOT(ISERROR(SEARCH("Fail",I42)))</formula>
    </cfRule>
  </conditionalFormatting>
  <conditionalFormatting sqref="M44 I44:J44">
    <cfRule type="containsText" dxfId="106" priority="60" operator="containsText" text="Fail">
      <formula>NOT(ISERROR(SEARCH("Fail",I44)))</formula>
    </cfRule>
  </conditionalFormatting>
  <conditionalFormatting sqref="M45 I45">
    <cfRule type="containsText" dxfId="105" priority="59" operator="containsText" text="Fail">
      <formula>NOT(ISERROR(SEARCH("Fail",I45)))</formula>
    </cfRule>
  </conditionalFormatting>
  <conditionalFormatting sqref="I46">
    <cfRule type="containsText" dxfId="104" priority="58" operator="containsText" text="Fail">
      <formula>NOT(ISERROR(SEARCH("Fail",I46)))</formula>
    </cfRule>
  </conditionalFormatting>
  <conditionalFormatting sqref="M47 I47:J47">
    <cfRule type="containsText" dxfId="103" priority="57" operator="containsText" text="Fail">
      <formula>NOT(ISERROR(SEARCH("Fail",I47)))</formula>
    </cfRule>
  </conditionalFormatting>
  <conditionalFormatting sqref="M48 I48">
    <cfRule type="containsText" dxfId="102" priority="56" operator="containsText" text="Fail">
      <formula>NOT(ISERROR(SEARCH("Fail",I48)))</formula>
    </cfRule>
  </conditionalFormatting>
  <conditionalFormatting sqref="I49">
    <cfRule type="containsText" dxfId="101" priority="55" operator="containsText" text="Fail">
      <formula>NOT(ISERROR(SEARCH("Fail",I49)))</formula>
    </cfRule>
  </conditionalFormatting>
  <conditionalFormatting sqref="M50 I50">
    <cfRule type="containsText" dxfId="100" priority="54" operator="containsText" text="Fail">
      <formula>NOT(ISERROR(SEARCH("Fail",I50)))</formula>
    </cfRule>
  </conditionalFormatting>
  <conditionalFormatting sqref="I51">
    <cfRule type="containsText" dxfId="99" priority="53" operator="containsText" text="Fail">
      <formula>NOT(ISERROR(SEARCH("Fail",I51)))</formula>
    </cfRule>
  </conditionalFormatting>
  <conditionalFormatting sqref="K52 I52">
    <cfRule type="containsText" dxfId="98" priority="52" operator="containsText" text="Fail">
      <formula>NOT(ISERROR(SEARCH("Fail",I52)))</formula>
    </cfRule>
  </conditionalFormatting>
  <conditionalFormatting sqref="M53 J53">
    <cfRule type="containsText" dxfId="97" priority="51" operator="containsText" text="Fail">
      <formula>NOT(ISERROR(SEARCH("Fail",J53)))</formula>
    </cfRule>
  </conditionalFormatting>
  <conditionalFormatting sqref="M54 I54:J54">
    <cfRule type="containsText" dxfId="96" priority="50" operator="containsText" text="Fail">
      <formula>NOT(ISERROR(SEARCH("Fail",I54)))</formula>
    </cfRule>
  </conditionalFormatting>
  <conditionalFormatting sqref="M55">
    <cfRule type="containsText" dxfId="95" priority="49" operator="containsText" text="Fail">
      <formula>NOT(ISERROR(SEARCH("Fail",M55)))</formula>
    </cfRule>
  </conditionalFormatting>
  <conditionalFormatting sqref="M56 I56">
    <cfRule type="containsText" dxfId="94" priority="48" operator="containsText" text="Fail">
      <formula>NOT(ISERROR(SEARCH("Fail",I56)))</formula>
    </cfRule>
  </conditionalFormatting>
  <conditionalFormatting sqref="M57 I57">
    <cfRule type="containsText" dxfId="93" priority="47" operator="containsText" text="Fail">
      <formula>NOT(ISERROR(SEARCH("Fail",I57)))</formula>
    </cfRule>
  </conditionalFormatting>
  <conditionalFormatting sqref="M58 J58">
    <cfRule type="containsText" dxfId="92" priority="46" operator="containsText" text="Fail">
      <formula>NOT(ISERROR(SEARCH("Fail",J58)))</formula>
    </cfRule>
  </conditionalFormatting>
  <conditionalFormatting sqref="L59:M59 I59:J59">
    <cfRule type="containsText" dxfId="91" priority="45" operator="containsText" text="Fail">
      <formula>NOT(ISERROR(SEARCH("Fail",I59)))</formula>
    </cfRule>
  </conditionalFormatting>
  <conditionalFormatting sqref="I60">
    <cfRule type="containsText" dxfId="90" priority="44" operator="containsText" text="Fail">
      <formula>NOT(ISERROR(SEARCH("Fail",I60)))</formula>
    </cfRule>
  </conditionalFormatting>
  <conditionalFormatting sqref="L61:M61 I61">
    <cfRule type="containsText" dxfId="89" priority="43" operator="containsText" text="Fail">
      <formula>NOT(ISERROR(SEARCH("Fail",I61)))</formula>
    </cfRule>
  </conditionalFormatting>
  <conditionalFormatting sqref="L62:M62">
    <cfRule type="containsText" dxfId="88" priority="42" operator="containsText" text="Fail">
      <formula>NOT(ISERROR(SEARCH("Fail",L62)))</formula>
    </cfRule>
  </conditionalFormatting>
  <conditionalFormatting sqref="L63">
    <cfRule type="containsText" dxfId="87" priority="41" operator="containsText" text="Fail">
      <formula>NOT(ISERROR(SEARCH("Fail",L63)))</formula>
    </cfRule>
  </conditionalFormatting>
  <conditionalFormatting sqref="M64">
    <cfRule type="containsText" dxfId="86" priority="40" operator="containsText" text="Fail">
      <formula>NOT(ISERROR(SEARCH("Fail",M64)))</formula>
    </cfRule>
  </conditionalFormatting>
  <conditionalFormatting sqref="I65:M65">
    <cfRule type="containsText" dxfId="85" priority="39" operator="containsText" text="Fail">
      <formula>NOT(ISERROR(SEARCH("Fail",I65)))</formula>
    </cfRule>
  </conditionalFormatting>
  <conditionalFormatting sqref="L66:M66 I66">
    <cfRule type="containsText" dxfId="84" priority="38" operator="containsText" text="Fail">
      <formula>NOT(ISERROR(SEARCH("Fail",I66)))</formula>
    </cfRule>
  </conditionalFormatting>
  <conditionalFormatting sqref="K67:M67 I67">
    <cfRule type="containsText" dxfId="83" priority="37" operator="containsText" text="Fail">
      <formula>NOT(ISERROR(SEARCH("Fail",I67)))</formula>
    </cfRule>
  </conditionalFormatting>
  <conditionalFormatting sqref="K68:M68 I68">
    <cfRule type="containsText" dxfId="82" priority="36" operator="containsText" text="Fail">
      <formula>NOT(ISERROR(SEARCH("Fail",I68)))</formula>
    </cfRule>
  </conditionalFormatting>
  <conditionalFormatting sqref="K69:M69 I69">
    <cfRule type="containsText" dxfId="81" priority="35" operator="containsText" text="Fail">
      <formula>NOT(ISERROR(SEARCH("Fail",I69)))</formula>
    </cfRule>
  </conditionalFormatting>
  <conditionalFormatting sqref="M70 I70">
    <cfRule type="containsText" dxfId="80" priority="34" operator="containsText" text="Fail">
      <formula>NOT(ISERROR(SEARCH("Fail",I70)))</formula>
    </cfRule>
  </conditionalFormatting>
  <conditionalFormatting sqref="L72">
    <cfRule type="containsText" dxfId="79" priority="33" operator="containsText" text="Fail">
      <formula>NOT(ISERROR(SEARCH("Fail",L72)))</formula>
    </cfRule>
  </conditionalFormatting>
  <conditionalFormatting sqref="M73 I73">
    <cfRule type="containsText" dxfId="78" priority="32" operator="containsText" text="Fail">
      <formula>NOT(ISERROR(SEARCH("Fail",I73)))</formula>
    </cfRule>
  </conditionalFormatting>
  <conditionalFormatting sqref="K74:M74 I74">
    <cfRule type="containsText" dxfId="77" priority="31" operator="containsText" text="Fail">
      <formula>NOT(ISERROR(SEARCH("Fail",I74)))</formula>
    </cfRule>
  </conditionalFormatting>
  <conditionalFormatting sqref="L75 I75">
    <cfRule type="containsText" dxfId="76" priority="30" operator="containsText" text="Fail">
      <formula>NOT(ISERROR(SEARCH("Fail",I75)))</formula>
    </cfRule>
  </conditionalFormatting>
  <conditionalFormatting sqref="M76 I76">
    <cfRule type="containsText" dxfId="75" priority="29" operator="containsText" text="Fail">
      <formula>NOT(ISERROR(SEARCH("Fail",I76)))</formula>
    </cfRule>
  </conditionalFormatting>
  <conditionalFormatting sqref="L77:M77 I77">
    <cfRule type="containsText" dxfId="74" priority="28" operator="containsText" text="Fail">
      <formula>NOT(ISERROR(SEARCH("Fail",I77)))</formula>
    </cfRule>
  </conditionalFormatting>
  <conditionalFormatting sqref="I78">
    <cfRule type="containsText" dxfId="73" priority="27" operator="containsText" text="Fail">
      <formula>NOT(ISERROR(SEARCH("Fail",I78)))</formula>
    </cfRule>
  </conditionalFormatting>
  <conditionalFormatting sqref="M79">
    <cfRule type="containsText" dxfId="72" priority="26" operator="containsText" text="Fail">
      <formula>NOT(ISERROR(SEARCH("Fail",M79)))</formula>
    </cfRule>
  </conditionalFormatting>
  <conditionalFormatting sqref="M80">
    <cfRule type="containsText" dxfId="71" priority="25" operator="containsText" text="Fail">
      <formula>NOT(ISERROR(SEARCH("Fail",M80)))</formula>
    </cfRule>
  </conditionalFormatting>
  <conditionalFormatting sqref="K81:M81 I81">
    <cfRule type="containsText" dxfId="70" priority="24" operator="containsText" text="Fail">
      <formula>NOT(ISERROR(SEARCH("Fail",I81)))</formula>
    </cfRule>
  </conditionalFormatting>
  <conditionalFormatting sqref="K82:M82 I82">
    <cfRule type="containsText" dxfId="69" priority="23" operator="containsText" text="Fail">
      <formula>NOT(ISERROR(SEARCH("Fail",I82)))</formula>
    </cfRule>
  </conditionalFormatting>
  <conditionalFormatting sqref="K83:M83 I83">
    <cfRule type="containsText" dxfId="68" priority="22" operator="containsText" text="Fail">
      <formula>NOT(ISERROR(SEARCH("Fail",I83)))</formula>
    </cfRule>
  </conditionalFormatting>
  <conditionalFormatting sqref="M84">
    <cfRule type="containsText" dxfId="67" priority="21" operator="containsText" text="Fail">
      <formula>NOT(ISERROR(SEARCH("Fail",M84)))</formula>
    </cfRule>
  </conditionalFormatting>
  <conditionalFormatting sqref="L85:M85 I85">
    <cfRule type="containsText" dxfId="66" priority="20" operator="containsText" text="Fail">
      <formula>NOT(ISERROR(SEARCH("Fail",I85)))</formula>
    </cfRule>
  </conditionalFormatting>
  <conditionalFormatting sqref="K86:M86 I86">
    <cfRule type="containsText" dxfId="65" priority="19" operator="containsText" text="Fail">
      <formula>NOT(ISERROR(SEARCH("Fail",I86)))</formula>
    </cfRule>
  </conditionalFormatting>
  <conditionalFormatting sqref="K87:M87 I87">
    <cfRule type="containsText" dxfId="64" priority="18" operator="containsText" text="Fail">
      <formula>NOT(ISERROR(SEARCH("Fail",I87)))</formula>
    </cfRule>
  </conditionalFormatting>
  <conditionalFormatting sqref="M88 I88">
    <cfRule type="containsText" dxfId="63" priority="17" operator="containsText" text="Fail">
      <formula>NOT(ISERROR(SEARCH("Fail",I88)))</formula>
    </cfRule>
  </conditionalFormatting>
  <conditionalFormatting sqref="M89">
    <cfRule type="containsText" dxfId="62" priority="16" operator="containsText" text="Fail">
      <formula>NOT(ISERROR(SEARCH("Fail",M89)))</formula>
    </cfRule>
  </conditionalFormatting>
  <conditionalFormatting sqref="M90">
    <cfRule type="containsText" dxfId="61" priority="15" operator="containsText" text="Fail">
      <formula>NOT(ISERROR(SEARCH("Fail",M90)))</formula>
    </cfRule>
  </conditionalFormatting>
  <conditionalFormatting sqref="I91">
    <cfRule type="containsText" dxfId="60" priority="14" operator="containsText" text="Fail">
      <formula>NOT(ISERROR(SEARCH("Fail",I91)))</formula>
    </cfRule>
  </conditionalFormatting>
  <conditionalFormatting sqref="J91">
    <cfRule type="containsText" dxfId="59" priority="13" operator="containsText" text="Fail">
      <formula>NOT(ISERROR(SEARCH("Fail",J91)))</formula>
    </cfRule>
  </conditionalFormatting>
  <conditionalFormatting sqref="M92 J92">
    <cfRule type="containsText" dxfId="58" priority="12" operator="containsText" text="Fail">
      <formula>NOT(ISERROR(SEARCH("Fail",J92)))</formula>
    </cfRule>
  </conditionalFormatting>
  <conditionalFormatting sqref="J93">
    <cfRule type="containsText" dxfId="57" priority="11" operator="containsText" text="Fail">
      <formula>NOT(ISERROR(SEARCH("Fail",J93)))</formula>
    </cfRule>
  </conditionalFormatting>
  <conditionalFormatting sqref="M94 I94">
    <cfRule type="containsText" dxfId="56" priority="10" operator="containsText" text="Fail">
      <formula>NOT(ISERROR(SEARCH("Fail",I94)))</formula>
    </cfRule>
  </conditionalFormatting>
  <conditionalFormatting sqref="M95 I95">
    <cfRule type="containsText" dxfId="55" priority="9" operator="containsText" text="Fail">
      <formula>NOT(ISERROR(SEARCH("Fail",I95)))</formula>
    </cfRule>
  </conditionalFormatting>
  <conditionalFormatting sqref="M96 I96">
    <cfRule type="containsText" dxfId="54" priority="8" operator="containsText" text="Fail">
      <formula>NOT(ISERROR(SEARCH("Fail",I96)))</formula>
    </cfRule>
  </conditionalFormatting>
  <conditionalFormatting sqref="M97 I97">
    <cfRule type="containsText" dxfId="53" priority="7" operator="containsText" text="Fail">
      <formula>NOT(ISERROR(SEARCH("Fail",I97)))</formula>
    </cfRule>
  </conditionalFormatting>
  <conditionalFormatting sqref="M98">
    <cfRule type="containsText" dxfId="52" priority="6" operator="containsText" text="Fail">
      <formula>NOT(ISERROR(SEARCH("Fail",M98)))</formula>
    </cfRule>
  </conditionalFormatting>
  <conditionalFormatting sqref="L99">
    <cfRule type="containsText" dxfId="51" priority="5" operator="containsText" text="Fail">
      <formula>NOT(ISERROR(SEARCH("Fail",L99)))</formula>
    </cfRule>
  </conditionalFormatting>
  <conditionalFormatting sqref="I100">
    <cfRule type="containsText" dxfId="50" priority="4" operator="containsText" text="Fail">
      <formula>NOT(ISERROR(SEARCH("Fail",I100)))</formula>
    </cfRule>
  </conditionalFormatting>
  <conditionalFormatting sqref="M101 I101:J101">
    <cfRule type="containsText" dxfId="49" priority="3" operator="containsText" text="Fail">
      <formula>NOT(ISERROR(SEARCH("Fail",I101)))</formula>
    </cfRule>
  </conditionalFormatting>
  <pageMargins left="0.7" right="0.7" top="0.75" bottom="0.75" header="0.3" footer="0.3"/>
  <pageSetup paperSize="8"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topLeftCell="A10" workbookViewId="0">
      <selection activeCell="K28" sqref="K28"/>
    </sheetView>
  </sheetViews>
  <sheetFormatPr defaultRowHeight="15" x14ac:dyDescent="0.2"/>
  <cols>
    <col min="11" max="11" width="12.21875" customWidth="1"/>
  </cols>
  <sheetData>
    <row r="1" spans="1:11" x14ac:dyDescent="0.2">
      <c r="A1" t="s">
        <v>312</v>
      </c>
      <c r="K1" t="s">
        <v>261</v>
      </c>
    </row>
    <row r="2" spans="1:11" x14ac:dyDescent="0.2">
      <c r="A2" s="34" t="s">
        <v>313</v>
      </c>
    </row>
  </sheetData>
  <hyperlinks>
    <hyperlink ref="A2"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WAMM_list_Nov_2019</vt:lpstr>
      <vt:lpstr>NoCAM update tables</vt:lpstr>
    </vt:vector>
  </TitlesOfParts>
  <Company>Environment Agency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 Potter</dc:creator>
  <cp:lastModifiedBy>Environment Agency User</cp:lastModifiedBy>
  <cp:lastPrinted>2017-06-27T14:10:36Z</cp:lastPrinted>
  <dcterms:created xsi:type="dcterms:W3CDTF">2014-03-03T10:38:48Z</dcterms:created>
  <dcterms:modified xsi:type="dcterms:W3CDTF">2019-12-02T15:08:30Z</dcterms:modified>
</cp:coreProperties>
</file>